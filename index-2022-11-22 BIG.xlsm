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b\Desktop\wc2026\wc2026pool.github.io\"/>
    </mc:Choice>
  </mc:AlternateContent>
  <xr:revisionPtr revIDLastSave="0" documentId="13_ncr:1_{C58B2667-09BF-450F-8155-7293A6CDF4E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index" sheetId="1" r:id="rId1"/>
    <sheet name="Sheet1" sheetId="2" r:id="rId2"/>
    <sheet name="ARG" sheetId="3" r:id="rId3"/>
    <sheet name="FRA" sheetId="5" r:id="rId4"/>
    <sheet name="blank" sheetId="6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" i="1" l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W31" i="1"/>
  <c r="X31" i="1"/>
  <c r="W32" i="1"/>
  <c r="X32" i="1"/>
  <c r="W33" i="1"/>
  <c r="X33" i="1"/>
  <c r="W34" i="1"/>
  <c r="X34" i="1"/>
  <c r="W35" i="1"/>
  <c r="X35" i="1"/>
  <c r="W36" i="1"/>
  <c r="X36" i="1"/>
  <c r="W37" i="1"/>
  <c r="X37" i="1"/>
  <c r="W38" i="1"/>
  <c r="X38" i="1"/>
  <c r="W39" i="1"/>
  <c r="X39" i="1"/>
  <c r="W40" i="1"/>
  <c r="X40" i="1"/>
  <c r="W41" i="1"/>
  <c r="X41" i="1"/>
  <c r="W42" i="1"/>
  <c r="X42" i="1"/>
  <c r="W43" i="1"/>
  <c r="X43" i="1"/>
  <c r="W44" i="1"/>
  <c r="X44" i="1"/>
  <c r="W45" i="1"/>
  <c r="X45" i="1"/>
  <c r="W46" i="1"/>
  <c r="X46" i="1"/>
  <c r="W47" i="1"/>
  <c r="X47" i="1"/>
  <c r="W48" i="1"/>
  <c r="X48" i="1"/>
  <c r="W49" i="1"/>
  <c r="X49" i="1"/>
  <c r="W50" i="1"/>
  <c r="X50" i="1"/>
  <c r="W51" i="1"/>
  <c r="X51" i="1"/>
  <c r="W52" i="1"/>
  <c r="X52" i="1"/>
  <c r="W53" i="1"/>
  <c r="X53" i="1"/>
  <c r="W54" i="1"/>
  <c r="X54" i="1"/>
  <c r="W55" i="1"/>
  <c r="X55" i="1"/>
  <c r="W56" i="1"/>
  <c r="X56" i="1"/>
  <c r="W57" i="1"/>
  <c r="X57" i="1"/>
  <c r="W58" i="1"/>
  <c r="X58" i="1"/>
  <c r="W59" i="1"/>
  <c r="X59" i="1"/>
  <c r="W60" i="1"/>
  <c r="X60" i="1"/>
  <c r="W61" i="1"/>
  <c r="X61" i="1"/>
  <c r="W62" i="1"/>
  <c r="X62" i="1"/>
  <c r="W63" i="1"/>
  <c r="X63" i="1"/>
  <c r="W64" i="1"/>
  <c r="X64" i="1"/>
  <c r="W65" i="1"/>
  <c r="X65" i="1"/>
  <c r="W66" i="1"/>
  <c r="X66" i="1"/>
  <c r="W67" i="1"/>
  <c r="X67" i="1"/>
  <c r="W68" i="1"/>
  <c r="X68" i="1"/>
  <c r="W69" i="1"/>
  <c r="X69" i="1"/>
  <c r="W70" i="1"/>
  <c r="X70" i="1"/>
  <c r="W71" i="1"/>
  <c r="X71" i="1"/>
  <c r="W72" i="1"/>
  <c r="X72" i="1"/>
  <c r="W73" i="1"/>
  <c r="X73" i="1"/>
  <c r="W74" i="1"/>
  <c r="X74" i="1"/>
  <c r="W75" i="1"/>
  <c r="X75" i="1"/>
  <c r="W76" i="1"/>
  <c r="X76" i="1"/>
  <c r="W77" i="1"/>
  <c r="X77" i="1"/>
  <c r="W78" i="1"/>
  <c r="X78" i="1"/>
  <c r="W79" i="1"/>
  <c r="X79" i="1"/>
  <c r="W80" i="1"/>
  <c r="X80" i="1"/>
  <c r="W81" i="1"/>
  <c r="X81" i="1"/>
  <c r="W82" i="1"/>
  <c r="X82" i="1"/>
  <c r="W83" i="1"/>
  <c r="X83" i="1"/>
  <c r="W84" i="1"/>
  <c r="X84" i="1"/>
  <c r="W85" i="1"/>
  <c r="X85" i="1"/>
  <c r="W86" i="1"/>
  <c r="X86" i="1"/>
  <c r="W87" i="1"/>
  <c r="X87" i="1"/>
  <c r="W88" i="1"/>
  <c r="X88" i="1"/>
  <c r="W89" i="1"/>
  <c r="X89" i="1"/>
  <c r="W90" i="1"/>
  <c r="X90" i="1"/>
  <c r="W91" i="1"/>
  <c r="X91" i="1"/>
  <c r="W92" i="1"/>
  <c r="X92" i="1"/>
  <c r="W93" i="1"/>
  <c r="X93" i="1"/>
  <c r="W94" i="1"/>
  <c r="X94" i="1"/>
  <c r="W95" i="1"/>
  <c r="X95" i="1"/>
  <c r="W96" i="1"/>
  <c r="X96" i="1"/>
  <c r="W97" i="1"/>
  <c r="X97" i="1"/>
  <c r="W98" i="1"/>
  <c r="X98" i="1"/>
  <c r="W99" i="1"/>
  <c r="X99" i="1"/>
  <c r="W100" i="1"/>
  <c r="X100" i="1"/>
  <c r="W101" i="1"/>
  <c r="X101" i="1"/>
  <c r="W102" i="1"/>
  <c r="X102" i="1"/>
  <c r="W103" i="1"/>
  <c r="X103" i="1"/>
  <c r="W104" i="1"/>
  <c r="X104" i="1"/>
  <c r="W105" i="1"/>
  <c r="X105" i="1"/>
  <c r="W106" i="1"/>
  <c r="X106" i="1"/>
  <c r="W107" i="1"/>
  <c r="X107" i="1"/>
  <c r="W108" i="1"/>
  <c r="X108" i="1"/>
  <c r="W109" i="1"/>
  <c r="X109" i="1"/>
  <c r="W110" i="1"/>
  <c r="X110" i="1"/>
  <c r="W111" i="1"/>
  <c r="X111" i="1"/>
  <c r="W112" i="1"/>
  <c r="X112" i="1"/>
  <c r="W113" i="1"/>
  <c r="X113" i="1"/>
  <c r="W114" i="1"/>
  <c r="X114" i="1"/>
  <c r="W115" i="1"/>
  <c r="X115" i="1"/>
  <c r="W116" i="1"/>
  <c r="X116" i="1"/>
  <c r="W117" i="1"/>
  <c r="X117" i="1"/>
  <c r="W118" i="1"/>
  <c r="X118" i="1"/>
  <c r="W119" i="1"/>
  <c r="X119" i="1"/>
  <c r="W120" i="1"/>
  <c r="X120" i="1"/>
  <c r="W121" i="1"/>
  <c r="X121" i="1"/>
  <c r="W122" i="1"/>
  <c r="X122" i="1"/>
  <c r="W123" i="1"/>
  <c r="X123" i="1"/>
  <c r="W124" i="1"/>
  <c r="X124" i="1"/>
  <c r="W125" i="1"/>
  <c r="X125" i="1"/>
  <c r="W126" i="1"/>
  <c r="X126" i="1"/>
  <c r="W127" i="1"/>
  <c r="X127" i="1"/>
  <c r="W128" i="1"/>
  <c r="X128" i="1"/>
  <c r="W129" i="1"/>
  <c r="X129" i="1"/>
  <c r="W130" i="1"/>
  <c r="X130" i="1"/>
  <c r="W131" i="1"/>
  <c r="X131" i="1"/>
  <c r="W132" i="1"/>
  <c r="X132" i="1"/>
  <c r="W133" i="1"/>
  <c r="X133" i="1"/>
  <c r="W134" i="1"/>
  <c r="X134" i="1"/>
  <c r="W135" i="1"/>
  <c r="X135" i="1"/>
  <c r="W136" i="1"/>
  <c r="X136" i="1"/>
  <c r="W137" i="1"/>
  <c r="X137" i="1"/>
  <c r="W138" i="1"/>
  <c r="X138" i="1"/>
  <c r="W139" i="1"/>
  <c r="X139" i="1"/>
  <c r="W140" i="1"/>
  <c r="X140" i="1"/>
  <c r="W141" i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W151" i="1"/>
  <c r="X151" i="1"/>
  <c r="W152" i="1"/>
  <c r="X152" i="1"/>
  <c r="W153" i="1"/>
  <c r="X153" i="1"/>
  <c r="W154" i="1"/>
  <c r="X154" i="1"/>
  <c r="W155" i="1"/>
  <c r="X155" i="1"/>
  <c r="W156" i="1"/>
  <c r="X156" i="1"/>
  <c r="W157" i="1"/>
  <c r="X157" i="1"/>
  <c r="W158" i="1"/>
  <c r="X158" i="1"/>
  <c r="W159" i="1"/>
  <c r="X159" i="1"/>
  <c r="W160" i="1"/>
  <c r="X160" i="1"/>
  <c r="W161" i="1"/>
  <c r="X161" i="1"/>
  <c r="W162" i="1"/>
  <c r="X162" i="1"/>
  <c r="W163" i="1"/>
  <c r="X163" i="1"/>
  <c r="W164" i="1"/>
  <c r="X164" i="1"/>
  <c r="W165" i="1"/>
  <c r="X165" i="1"/>
  <c r="W166" i="1"/>
  <c r="X166" i="1"/>
  <c r="W167" i="1"/>
  <c r="X167" i="1"/>
  <c r="W168" i="1"/>
  <c r="X168" i="1"/>
  <c r="W169" i="1"/>
  <c r="X169" i="1"/>
  <c r="W170" i="1"/>
  <c r="X170" i="1"/>
  <c r="W171" i="1"/>
  <c r="X171" i="1"/>
  <c r="W172" i="1"/>
  <c r="X172" i="1"/>
  <c r="W173" i="1"/>
  <c r="X173" i="1"/>
  <c r="W174" i="1"/>
  <c r="X174" i="1"/>
  <c r="W175" i="1"/>
  <c r="X175" i="1"/>
  <c r="W176" i="1"/>
  <c r="X176" i="1"/>
  <c r="W177" i="1"/>
  <c r="X177" i="1"/>
  <c r="W178" i="1"/>
  <c r="X178" i="1"/>
  <c r="W179" i="1"/>
  <c r="X179" i="1"/>
  <c r="W180" i="1"/>
  <c r="X180" i="1"/>
  <c r="W181" i="1"/>
  <c r="X181" i="1"/>
  <c r="W182" i="1"/>
  <c r="X182" i="1"/>
  <c r="W183" i="1"/>
  <c r="X183" i="1"/>
  <c r="W184" i="1"/>
  <c r="X184" i="1"/>
  <c r="W185" i="1"/>
  <c r="X185" i="1"/>
  <c r="W186" i="1"/>
  <c r="X186" i="1"/>
  <c r="W187" i="1"/>
  <c r="X187" i="1"/>
  <c r="W188" i="1"/>
  <c r="X188" i="1"/>
  <c r="W189" i="1"/>
  <c r="X189" i="1"/>
  <c r="W190" i="1"/>
  <c r="X190" i="1"/>
  <c r="W191" i="1"/>
  <c r="X191" i="1"/>
  <c r="W192" i="1"/>
  <c r="X192" i="1"/>
  <c r="W193" i="1"/>
  <c r="X193" i="1"/>
  <c r="W194" i="1"/>
  <c r="X194" i="1"/>
  <c r="W195" i="1"/>
  <c r="X195" i="1"/>
  <c r="W196" i="1"/>
  <c r="X196" i="1"/>
  <c r="W197" i="1"/>
  <c r="X197" i="1"/>
  <c r="W198" i="1"/>
  <c r="X198" i="1"/>
  <c r="W199" i="1"/>
  <c r="X199" i="1"/>
  <c r="W200" i="1"/>
  <c r="X200" i="1"/>
  <c r="X20" i="1"/>
  <c r="W20" i="1"/>
  <c r="Z21" i="1" l="1"/>
  <c r="AA21" i="1"/>
  <c r="AC21" i="1"/>
  <c r="AD21" i="1"/>
  <c r="Z22" i="1"/>
  <c r="AA22" i="1"/>
  <c r="AC22" i="1"/>
  <c r="AD22" i="1"/>
  <c r="Z23" i="1"/>
  <c r="AA23" i="1"/>
  <c r="AC23" i="1"/>
  <c r="AD23" i="1"/>
  <c r="Z24" i="1"/>
  <c r="AA24" i="1"/>
  <c r="AC24" i="1"/>
  <c r="AD24" i="1"/>
  <c r="Z25" i="1"/>
  <c r="AA25" i="1"/>
  <c r="AC25" i="1"/>
  <c r="AD25" i="1"/>
  <c r="Z26" i="1"/>
  <c r="AA26" i="1"/>
  <c r="AC26" i="1"/>
  <c r="AD26" i="1"/>
  <c r="Z27" i="1"/>
  <c r="AA27" i="1"/>
  <c r="AC27" i="1"/>
  <c r="AD27" i="1"/>
  <c r="Z28" i="1"/>
  <c r="AA28" i="1"/>
  <c r="AC28" i="1"/>
  <c r="AD28" i="1"/>
  <c r="Z29" i="1"/>
  <c r="AA29" i="1"/>
  <c r="AC29" i="1"/>
  <c r="AD29" i="1"/>
  <c r="Z30" i="1"/>
  <c r="AA30" i="1"/>
  <c r="AC30" i="1"/>
  <c r="AD30" i="1"/>
  <c r="Z31" i="1"/>
  <c r="AA31" i="1"/>
  <c r="AC31" i="1"/>
  <c r="AD31" i="1"/>
  <c r="Z32" i="1"/>
  <c r="AA32" i="1"/>
  <c r="AC32" i="1"/>
  <c r="AD32" i="1"/>
  <c r="Z33" i="1"/>
  <c r="AA33" i="1"/>
  <c r="AC33" i="1"/>
  <c r="AD33" i="1"/>
  <c r="Z34" i="1"/>
  <c r="AA34" i="1"/>
  <c r="AC34" i="1"/>
  <c r="AD34" i="1"/>
  <c r="Z35" i="1"/>
  <c r="AA35" i="1"/>
  <c r="AC35" i="1"/>
  <c r="AD35" i="1"/>
  <c r="Z36" i="1"/>
  <c r="AA36" i="1"/>
  <c r="AC36" i="1"/>
  <c r="AD36" i="1"/>
  <c r="Z37" i="1"/>
  <c r="AA37" i="1"/>
  <c r="AC37" i="1"/>
  <c r="AD37" i="1"/>
  <c r="Z38" i="1"/>
  <c r="AA38" i="1"/>
  <c r="AC38" i="1"/>
  <c r="AD38" i="1"/>
  <c r="Z39" i="1"/>
  <c r="AA39" i="1"/>
  <c r="AC39" i="1"/>
  <c r="AD39" i="1"/>
  <c r="Z40" i="1"/>
  <c r="AA40" i="1"/>
  <c r="AC40" i="1"/>
  <c r="AD40" i="1"/>
  <c r="Z41" i="1"/>
  <c r="AA41" i="1"/>
  <c r="AC41" i="1"/>
  <c r="AD41" i="1"/>
  <c r="Z42" i="1"/>
  <c r="AA42" i="1"/>
  <c r="AC42" i="1"/>
  <c r="AD42" i="1"/>
  <c r="Z43" i="1"/>
  <c r="AA43" i="1"/>
  <c r="AC43" i="1"/>
  <c r="AD43" i="1"/>
  <c r="Z44" i="1"/>
  <c r="AA44" i="1"/>
  <c r="AC44" i="1"/>
  <c r="AD44" i="1"/>
  <c r="Z45" i="1"/>
  <c r="AA45" i="1"/>
  <c r="AC45" i="1"/>
  <c r="AD45" i="1"/>
  <c r="Z46" i="1"/>
  <c r="AA46" i="1"/>
  <c r="AC46" i="1"/>
  <c r="AD46" i="1"/>
  <c r="Z47" i="1"/>
  <c r="AA47" i="1"/>
  <c r="AC47" i="1"/>
  <c r="AD47" i="1"/>
  <c r="Z48" i="1"/>
  <c r="AA48" i="1"/>
  <c r="AC48" i="1"/>
  <c r="AD48" i="1"/>
  <c r="Z49" i="1"/>
  <c r="AA49" i="1"/>
  <c r="AC49" i="1"/>
  <c r="AD49" i="1"/>
  <c r="Z50" i="1"/>
  <c r="AA50" i="1"/>
  <c r="AC50" i="1"/>
  <c r="AD50" i="1"/>
  <c r="Z51" i="1"/>
  <c r="AA51" i="1"/>
  <c r="AC51" i="1"/>
  <c r="AD51" i="1"/>
  <c r="Z52" i="1"/>
  <c r="AA52" i="1"/>
  <c r="AC52" i="1"/>
  <c r="AD52" i="1"/>
  <c r="Z53" i="1"/>
  <c r="AA53" i="1"/>
  <c r="AC53" i="1"/>
  <c r="AD53" i="1"/>
  <c r="Z54" i="1"/>
  <c r="AA54" i="1"/>
  <c r="AC54" i="1"/>
  <c r="AD54" i="1"/>
  <c r="Z55" i="1"/>
  <c r="AA55" i="1"/>
  <c r="AC55" i="1"/>
  <c r="AD55" i="1"/>
  <c r="Z56" i="1"/>
  <c r="AA56" i="1"/>
  <c r="AC56" i="1"/>
  <c r="AD56" i="1"/>
  <c r="Z57" i="1"/>
  <c r="AA57" i="1"/>
  <c r="AC57" i="1"/>
  <c r="AD57" i="1"/>
  <c r="Z58" i="1"/>
  <c r="AA58" i="1"/>
  <c r="AC58" i="1"/>
  <c r="AD58" i="1"/>
  <c r="Z59" i="1"/>
  <c r="AA59" i="1"/>
  <c r="AC59" i="1"/>
  <c r="AD59" i="1"/>
  <c r="Z60" i="1"/>
  <c r="AA60" i="1"/>
  <c r="AC60" i="1"/>
  <c r="AD60" i="1"/>
  <c r="Z61" i="1"/>
  <c r="AA61" i="1"/>
  <c r="AC61" i="1"/>
  <c r="AD61" i="1"/>
  <c r="Z62" i="1"/>
  <c r="AA62" i="1"/>
  <c r="AC62" i="1"/>
  <c r="AD62" i="1"/>
  <c r="Z63" i="1"/>
  <c r="AA63" i="1"/>
  <c r="AC63" i="1"/>
  <c r="AD63" i="1"/>
  <c r="Z64" i="1"/>
  <c r="AA64" i="1"/>
  <c r="AC64" i="1"/>
  <c r="AD64" i="1"/>
  <c r="Z65" i="1"/>
  <c r="AA65" i="1"/>
  <c r="AC65" i="1"/>
  <c r="AD65" i="1"/>
  <c r="Z66" i="1"/>
  <c r="AA66" i="1"/>
  <c r="AC66" i="1"/>
  <c r="AD66" i="1"/>
  <c r="Z67" i="1"/>
  <c r="AA67" i="1"/>
  <c r="AC67" i="1"/>
  <c r="AD67" i="1"/>
  <c r="Z68" i="1"/>
  <c r="AA68" i="1"/>
  <c r="AC68" i="1"/>
  <c r="AD68" i="1"/>
  <c r="Z69" i="1"/>
  <c r="AA69" i="1"/>
  <c r="AC69" i="1"/>
  <c r="AD69" i="1"/>
  <c r="Z70" i="1"/>
  <c r="AA70" i="1"/>
  <c r="AC70" i="1"/>
  <c r="AD70" i="1"/>
  <c r="Z71" i="1"/>
  <c r="AA71" i="1"/>
  <c r="AC71" i="1"/>
  <c r="AD71" i="1"/>
  <c r="Z72" i="1"/>
  <c r="AA72" i="1"/>
  <c r="AC72" i="1"/>
  <c r="AD72" i="1"/>
  <c r="Z73" i="1"/>
  <c r="AA73" i="1"/>
  <c r="AC73" i="1"/>
  <c r="AD73" i="1"/>
  <c r="Z74" i="1"/>
  <c r="AA74" i="1"/>
  <c r="AC74" i="1"/>
  <c r="AD74" i="1"/>
  <c r="Z75" i="1"/>
  <c r="AA75" i="1"/>
  <c r="AC75" i="1"/>
  <c r="AD75" i="1"/>
  <c r="Z76" i="1"/>
  <c r="AA76" i="1"/>
  <c r="AC76" i="1"/>
  <c r="AD76" i="1"/>
  <c r="Z77" i="1"/>
  <c r="AA77" i="1"/>
  <c r="AC77" i="1"/>
  <c r="AD77" i="1"/>
  <c r="Z78" i="1"/>
  <c r="AA78" i="1"/>
  <c r="AC78" i="1"/>
  <c r="AD78" i="1"/>
  <c r="Z79" i="1"/>
  <c r="AA79" i="1"/>
  <c r="AC79" i="1"/>
  <c r="AD79" i="1"/>
  <c r="Z80" i="1"/>
  <c r="AA80" i="1"/>
  <c r="AC80" i="1"/>
  <c r="AD80" i="1"/>
  <c r="Z81" i="1"/>
  <c r="AA81" i="1"/>
  <c r="AC81" i="1"/>
  <c r="AD81" i="1"/>
  <c r="Z82" i="1"/>
  <c r="AA82" i="1"/>
  <c r="AC82" i="1"/>
  <c r="AD82" i="1"/>
  <c r="Z83" i="1"/>
  <c r="AA83" i="1"/>
  <c r="AC83" i="1"/>
  <c r="AD83" i="1"/>
  <c r="Z84" i="1"/>
  <c r="AA84" i="1"/>
  <c r="AC84" i="1"/>
  <c r="AD84" i="1"/>
  <c r="Z85" i="1"/>
  <c r="AA85" i="1"/>
  <c r="AC85" i="1"/>
  <c r="AD85" i="1"/>
  <c r="Z86" i="1"/>
  <c r="AA86" i="1"/>
  <c r="AC86" i="1"/>
  <c r="AD86" i="1"/>
  <c r="Z87" i="1"/>
  <c r="AA87" i="1"/>
  <c r="AC87" i="1"/>
  <c r="AD87" i="1"/>
  <c r="Z88" i="1"/>
  <c r="AA88" i="1"/>
  <c r="AC88" i="1"/>
  <c r="AD88" i="1"/>
  <c r="Z89" i="1"/>
  <c r="AA89" i="1"/>
  <c r="AC89" i="1"/>
  <c r="AD89" i="1"/>
  <c r="Z90" i="1"/>
  <c r="AA90" i="1"/>
  <c r="AC90" i="1"/>
  <c r="AD90" i="1"/>
  <c r="Z91" i="1"/>
  <c r="AA91" i="1"/>
  <c r="AC91" i="1"/>
  <c r="AD91" i="1"/>
  <c r="Z92" i="1"/>
  <c r="AA92" i="1"/>
  <c r="AC92" i="1"/>
  <c r="AD92" i="1"/>
  <c r="Z93" i="1"/>
  <c r="AA93" i="1"/>
  <c r="AC93" i="1"/>
  <c r="AD93" i="1"/>
  <c r="Z94" i="1"/>
  <c r="AA94" i="1"/>
  <c r="AC94" i="1"/>
  <c r="AD94" i="1"/>
  <c r="Z95" i="1"/>
  <c r="AA95" i="1"/>
  <c r="AC95" i="1"/>
  <c r="AD95" i="1"/>
  <c r="Z96" i="1"/>
  <c r="AA96" i="1"/>
  <c r="AC96" i="1"/>
  <c r="AD96" i="1"/>
  <c r="Z97" i="1"/>
  <c r="AA97" i="1"/>
  <c r="AC97" i="1"/>
  <c r="AD97" i="1"/>
  <c r="Z98" i="1"/>
  <c r="AA98" i="1"/>
  <c r="AC98" i="1"/>
  <c r="AD98" i="1"/>
  <c r="Z99" i="1"/>
  <c r="AA99" i="1"/>
  <c r="AC99" i="1"/>
  <c r="AD99" i="1"/>
  <c r="Z100" i="1"/>
  <c r="AA100" i="1"/>
  <c r="AC100" i="1"/>
  <c r="AD100" i="1"/>
  <c r="Z101" i="1"/>
  <c r="AA101" i="1"/>
  <c r="AC101" i="1"/>
  <c r="AD101" i="1"/>
  <c r="Z102" i="1"/>
  <c r="AA102" i="1"/>
  <c r="AC102" i="1"/>
  <c r="AD102" i="1"/>
  <c r="Z103" i="1"/>
  <c r="AA103" i="1"/>
  <c r="AC103" i="1"/>
  <c r="AD103" i="1"/>
  <c r="Z104" i="1"/>
  <c r="AA104" i="1"/>
  <c r="AC104" i="1"/>
  <c r="AD104" i="1"/>
  <c r="Z105" i="1"/>
  <c r="AA105" i="1"/>
  <c r="AC105" i="1"/>
  <c r="AD105" i="1"/>
  <c r="Z106" i="1"/>
  <c r="AA106" i="1"/>
  <c r="AC106" i="1"/>
  <c r="AD106" i="1"/>
  <c r="Z107" i="1"/>
  <c r="AA107" i="1"/>
  <c r="AC107" i="1"/>
  <c r="AD107" i="1"/>
  <c r="Z108" i="1"/>
  <c r="AA108" i="1"/>
  <c r="AC108" i="1"/>
  <c r="AD108" i="1"/>
  <c r="Z109" i="1"/>
  <c r="AA109" i="1"/>
  <c r="AC109" i="1"/>
  <c r="AD109" i="1"/>
  <c r="Z110" i="1"/>
  <c r="AA110" i="1"/>
  <c r="AC110" i="1"/>
  <c r="AD110" i="1"/>
  <c r="Z111" i="1"/>
  <c r="AA111" i="1"/>
  <c r="AC111" i="1"/>
  <c r="AD111" i="1"/>
  <c r="Z112" i="1"/>
  <c r="AA112" i="1"/>
  <c r="AC112" i="1"/>
  <c r="AD112" i="1"/>
  <c r="Z113" i="1"/>
  <c r="AA113" i="1"/>
  <c r="AC113" i="1"/>
  <c r="AD113" i="1"/>
  <c r="Z114" i="1"/>
  <c r="AA114" i="1"/>
  <c r="AC114" i="1"/>
  <c r="AD114" i="1"/>
  <c r="Z115" i="1"/>
  <c r="AA115" i="1"/>
  <c r="AC115" i="1"/>
  <c r="AD115" i="1"/>
  <c r="Z116" i="1"/>
  <c r="AA116" i="1"/>
  <c r="AC116" i="1"/>
  <c r="AD116" i="1"/>
  <c r="Z117" i="1"/>
  <c r="AA117" i="1"/>
  <c r="AC117" i="1"/>
  <c r="AD117" i="1"/>
  <c r="Z118" i="1"/>
  <c r="AA118" i="1"/>
  <c r="AC118" i="1"/>
  <c r="AD118" i="1"/>
  <c r="Z119" i="1"/>
  <c r="AA119" i="1"/>
  <c r="AC119" i="1"/>
  <c r="AD119" i="1"/>
  <c r="Z120" i="1"/>
  <c r="AA120" i="1"/>
  <c r="AC120" i="1"/>
  <c r="AD120" i="1"/>
  <c r="Z121" i="1"/>
  <c r="AA121" i="1"/>
  <c r="AC121" i="1"/>
  <c r="AD121" i="1"/>
  <c r="Z122" i="1"/>
  <c r="AA122" i="1"/>
  <c r="AC122" i="1"/>
  <c r="AD122" i="1"/>
  <c r="Z123" i="1"/>
  <c r="AA123" i="1"/>
  <c r="AC123" i="1"/>
  <c r="AD123" i="1"/>
  <c r="Z124" i="1"/>
  <c r="AA124" i="1"/>
  <c r="AC124" i="1"/>
  <c r="AD124" i="1"/>
  <c r="Z125" i="1"/>
  <c r="AA125" i="1"/>
  <c r="AC125" i="1"/>
  <c r="AD125" i="1"/>
  <c r="Z126" i="1"/>
  <c r="AA126" i="1"/>
  <c r="AC126" i="1"/>
  <c r="AD126" i="1"/>
  <c r="Z127" i="1"/>
  <c r="AA127" i="1"/>
  <c r="AC127" i="1"/>
  <c r="AD127" i="1"/>
  <c r="Z128" i="1"/>
  <c r="AA128" i="1"/>
  <c r="AC128" i="1"/>
  <c r="AD128" i="1"/>
  <c r="Z129" i="1"/>
  <c r="AA129" i="1"/>
  <c r="AC129" i="1"/>
  <c r="AD129" i="1"/>
  <c r="Z130" i="1"/>
  <c r="AA130" i="1"/>
  <c r="AC130" i="1"/>
  <c r="AD130" i="1"/>
  <c r="Z131" i="1"/>
  <c r="AA131" i="1"/>
  <c r="AC131" i="1"/>
  <c r="AD131" i="1"/>
  <c r="Z132" i="1"/>
  <c r="AA132" i="1"/>
  <c r="AC132" i="1"/>
  <c r="AD132" i="1"/>
  <c r="Z133" i="1"/>
  <c r="AA133" i="1"/>
  <c r="AC133" i="1"/>
  <c r="AD133" i="1"/>
  <c r="Z134" i="1"/>
  <c r="AA134" i="1"/>
  <c r="AC134" i="1"/>
  <c r="AD134" i="1"/>
  <c r="Z135" i="1"/>
  <c r="AA135" i="1"/>
  <c r="AC135" i="1"/>
  <c r="AD135" i="1"/>
  <c r="Z136" i="1"/>
  <c r="AA136" i="1"/>
  <c r="AC136" i="1"/>
  <c r="AD136" i="1"/>
  <c r="Z137" i="1"/>
  <c r="AA137" i="1"/>
  <c r="AC137" i="1"/>
  <c r="AD137" i="1"/>
  <c r="Z138" i="1"/>
  <c r="AA138" i="1"/>
  <c r="AC138" i="1"/>
  <c r="AD138" i="1"/>
  <c r="Z139" i="1"/>
  <c r="AA139" i="1"/>
  <c r="AC139" i="1"/>
  <c r="AD139" i="1"/>
  <c r="Z140" i="1"/>
  <c r="AA140" i="1"/>
  <c r="AC140" i="1"/>
  <c r="AD140" i="1"/>
  <c r="Z141" i="1"/>
  <c r="AA141" i="1"/>
  <c r="AC141" i="1"/>
  <c r="AD141" i="1"/>
  <c r="Z142" i="1"/>
  <c r="AA142" i="1"/>
  <c r="AC142" i="1"/>
  <c r="AD142" i="1"/>
  <c r="Z143" i="1"/>
  <c r="AA143" i="1"/>
  <c r="AC143" i="1"/>
  <c r="AD143" i="1"/>
  <c r="Z144" i="1"/>
  <c r="AA144" i="1"/>
  <c r="AC144" i="1"/>
  <c r="AD144" i="1"/>
  <c r="Z145" i="1"/>
  <c r="AA145" i="1"/>
  <c r="AC145" i="1"/>
  <c r="AD145" i="1"/>
  <c r="Z146" i="1"/>
  <c r="AA146" i="1"/>
  <c r="AC146" i="1"/>
  <c r="AD146" i="1"/>
  <c r="Z147" i="1"/>
  <c r="AA147" i="1"/>
  <c r="AC147" i="1"/>
  <c r="AD147" i="1"/>
  <c r="Z148" i="1"/>
  <c r="AA148" i="1"/>
  <c r="AC148" i="1"/>
  <c r="AD148" i="1"/>
  <c r="Z149" i="1"/>
  <c r="AA149" i="1"/>
  <c r="AC149" i="1"/>
  <c r="AD149" i="1"/>
  <c r="Z150" i="1"/>
  <c r="AA150" i="1"/>
  <c r="AC150" i="1"/>
  <c r="AD150" i="1"/>
  <c r="Z151" i="1"/>
  <c r="AA151" i="1"/>
  <c r="AC151" i="1"/>
  <c r="AD151" i="1"/>
  <c r="Z152" i="1"/>
  <c r="AA152" i="1"/>
  <c r="AC152" i="1"/>
  <c r="AD152" i="1"/>
  <c r="Z153" i="1"/>
  <c r="AA153" i="1"/>
  <c r="AC153" i="1"/>
  <c r="AD153" i="1"/>
  <c r="Z154" i="1"/>
  <c r="AA154" i="1"/>
  <c r="AC154" i="1"/>
  <c r="AD154" i="1"/>
  <c r="Z155" i="1"/>
  <c r="AA155" i="1"/>
  <c r="AC155" i="1"/>
  <c r="AD155" i="1"/>
  <c r="Z156" i="1"/>
  <c r="AA156" i="1"/>
  <c r="AC156" i="1"/>
  <c r="AD156" i="1"/>
  <c r="Z157" i="1"/>
  <c r="AA157" i="1"/>
  <c r="AC157" i="1"/>
  <c r="AD157" i="1"/>
  <c r="Z158" i="1"/>
  <c r="AA158" i="1"/>
  <c r="AC158" i="1"/>
  <c r="AD158" i="1"/>
  <c r="Z159" i="1"/>
  <c r="AA159" i="1"/>
  <c r="AC159" i="1"/>
  <c r="AD159" i="1"/>
  <c r="Z160" i="1"/>
  <c r="AA160" i="1"/>
  <c r="AC160" i="1"/>
  <c r="AD160" i="1"/>
  <c r="Z161" i="1"/>
  <c r="AA161" i="1"/>
  <c r="AC161" i="1"/>
  <c r="AD161" i="1"/>
  <c r="Z162" i="1"/>
  <c r="AA162" i="1"/>
  <c r="AC162" i="1"/>
  <c r="AD162" i="1"/>
  <c r="Z163" i="1"/>
  <c r="AA163" i="1"/>
  <c r="AC163" i="1"/>
  <c r="AD163" i="1"/>
  <c r="Z164" i="1"/>
  <c r="AA164" i="1"/>
  <c r="AC164" i="1"/>
  <c r="AD164" i="1"/>
  <c r="Z165" i="1"/>
  <c r="AA165" i="1"/>
  <c r="AC165" i="1"/>
  <c r="AD165" i="1"/>
  <c r="Z166" i="1"/>
  <c r="AA166" i="1"/>
  <c r="AC166" i="1"/>
  <c r="AD166" i="1"/>
  <c r="Z167" i="1"/>
  <c r="AA167" i="1"/>
  <c r="AC167" i="1"/>
  <c r="AD167" i="1"/>
  <c r="Z168" i="1"/>
  <c r="AA168" i="1"/>
  <c r="AC168" i="1"/>
  <c r="AD168" i="1"/>
  <c r="Z169" i="1"/>
  <c r="AA169" i="1"/>
  <c r="AC169" i="1"/>
  <c r="AD169" i="1"/>
  <c r="Z170" i="1"/>
  <c r="AA170" i="1"/>
  <c r="AC170" i="1"/>
  <c r="AD170" i="1"/>
  <c r="Z171" i="1"/>
  <c r="AA171" i="1"/>
  <c r="AC171" i="1"/>
  <c r="AD171" i="1"/>
  <c r="Z172" i="1"/>
  <c r="AA172" i="1"/>
  <c r="AC172" i="1"/>
  <c r="AD172" i="1"/>
  <c r="Z173" i="1"/>
  <c r="AA173" i="1"/>
  <c r="AC173" i="1"/>
  <c r="AD173" i="1"/>
  <c r="Z174" i="1"/>
  <c r="AA174" i="1"/>
  <c r="AC174" i="1"/>
  <c r="AD174" i="1"/>
  <c r="Z175" i="1"/>
  <c r="AA175" i="1"/>
  <c r="AC175" i="1"/>
  <c r="AD175" i="1"/>
  <c r="Z176" i="1"/>
  <c r="AA176" i="1"/>
  <c r="AC176" i="1"/>
  <c r="AD176" i="1"/>
  <c r="Z177" i="1"/>
  <c r="AA177" i="1"/>
  <c r="AC177" i="1"/>
  <c r="AD177" i="1"/>
  <c r="Z178" i="1"/>
  <c r="AA178" i="1"/>
  <c r="AC178" i="1"/>
  <c r="AD178" i="1"/>
  <c r="Z179" i="1"/>
  <c r="AA179" i="1"/>
  <c r="AC179" i="1"/>
  <c r="AD179" i="1"/>
  <c r="Z180" i="1"/>
  <c r="AA180" i="1"/>
  <c r="AC180" i="1"/>
  <c r="AD180" i="1"/>
  <c r="Z181" i="1"/>
  <c r="AA181" i="1"/>
  <c r="AC181" i="1"/>
  <c r="AD181" i="1"/>
  <c r="Z182" i="1"/>
  <c r="AA182" i="1"/>
  <c r="AC182" i="1"/>
  <c r="AD182" i="1"/>
  <c r="Z183" i="1"/>
  <c r="AA183" i="1"/>
  <c r="AC183" i="1"/>
  <c r="AD183" i="1"/>
  <c r="Z184" i="1"/>
  <c r="AA184" i="1"/>
  <c r="AC184" i="1"/>
  <c r="AD184" i="1"/>
  <c r="Z185" i="1"/>
  <c r="AA185" i="1"/>
  <c r="AC185" i="1"/>
  <c r="AD185" i="1"/>
  <c r="Z186" i="1"/>
  <c r="AA186" i="1"/>
  <c r="AC186" i="1"/>
  <c r="AD186" i="1"/>
  <c r="Z187" i="1"/>
  <c r="AA187" i="1"/>
  <c r="AC187" i="1"/>
  <c r="AD187" i="1"/>
  <c r="Z188" i="1"/>
  <c r="AA188" i="1"/>
  <c r="AC188" i="1"/>
  <c r="AD188" i="1"/>
  <c r="Z189" i="1"/>
  <c r="AA189" i="1"/>
  <c r="AC189" i="1"/>
  <c r="AD189" i="1"/>
  <c r="Z190" i="1"/>
  <c r="AA190" i="1"/>
  <c r="AC190" i="1"/>
  <c r="AD190" i="1"/>
  <c r="Z191" i="1"/>
  <c r="AA191" i="1"/>
  <c r="AC191" i="1"/>
  <c r="AD191" i="1"/>
  <c r="Z192" i="1"/>
  <c r="AA192" i="1"/>
  <c r="AC192" i="1"/>
  <c r="AD192" i="1"/>
  <c r="Z193" i="1"/>
  <c r="AA193" i="1"/>
  <c r="AC193" i="1"/>
  <c r="AD193" i="1"/>
  <c r="Z194" i="1"/>
  <c r="AA194" i="1"/>
  <c r="AC194" i="1"/>
  <c r="AD194" i="1"/>
  <c r="Z195" i="1"/>
  <c r="AA195" i="1"/>
  <c r="AC195" i="1"/>
  <c r="AD195" i="1"/>
  <c r="Z196" i="1"/>
  <c r="AA196" i="1"/>
  <c r="AC196" i="1"/>
  <c r="AD196" i="1"/>
  <c r="Z197" i="1"/>
  <c r="AA197" i="1"/>
  <c r="AC197" i="1"/>
  <c r="AD197" i="1"/>
  <c r="Z198" i="1"/>
  <c r="AA198" i="1"/>
  <c r="AC198" i="1"/>
  <c r="AD198" i="1"/>
  <c r="Z199" i="1"/>
  <c r="AA199" i="1"/>
  <c r="AC199" i="1"/>
  <c r="AD199" i="1"/>
  <c r="Z200" i="1"/>
  <c r="AA200" i="1"/>
  <c r="AC200" i="1"/>
  <c r="AD200" i="1"/>
  <c r="AD20" i="1"/>
  <c r="AC20" i="1"/>
  <c r="AA20" i="1"/>
  <c r="Z20" i="1"/>
  <c r="AD19" i="1"/>
  <c r="AD18" i="1"/>
  <c r="AD17" i="1"/>
  <c r="AC19" i="1"/>
  <c r="AC18" i="1"/>
  <c r="AC17" i="1"/>
  <c r="AA19" i="1"/>
  <c r="AA18" i="1"/>
  <c r="AA17" i="1"/>
  <c r="Z19" i="1"/>
  <c r="Z18" i="1"/>
  <c r="Z17" i="1"/>
  <c r="T19" i="1"/>
  <c r="T18" i="1"/>
  <c r="T17" i="1"/>
  <c r="P13" i="1" l="1"/>
  <c r="R13" i="1" l="1"/>
  <c r="R15" i="6" l="1"/>
  <c r="P15" i="6"/>
  <c r="U53" i="1" l="1"/>
  <c r="U102" i="1"/>
  <c r="U37" i="1"/>
  <c r="U68" i="1"/>
  <c r="U117" i="1"/>
  <c r="U192" i="1"/>
  <c r="U160" i="1"/>
  <c r="U28" i="1"/>
  <c r="U98" i="1"/>
  <c r="U49" i="1"/>
  <c r="U173" i="1"/>
  <c r="U48" i="1"/>
  <c r="U101" i="1"/>
  <c r="U128" i="1"/>
  <c r="U95" i="1"/>
  <c r="U132" i="1"/>
  <c r="U80" i="1"/>
  <c r="U119" i="1"/>
  <c r="U140" i="1"/>
  <c r="U32" i="1"/>
  <c r="U113" i="1"/>
  <c r="U21" i="1"/>
  <c r="U107" i="1"/>
  <c r="U181" i="1"/>
  <c r="U197" i="1"/>
  <c r="U104" i="1"/>
  <c r="U94" i="1"/>
  <c r="U184" i="1"/>
  <c r="U58" i="1"/>
  <c r="U90" i="1"/>
  <c r="U127" i="1"/>
  <c r="U126" i="1"/>
  <c r="U130" i="1"/>
  <c r="U193" i="1"/>
  <c r="U111" i="1"/>
  <c r="U178" i="1"/>
  <c r="U34" i="1"/>
  <c r="U163" i="1"/>
  <c r="U40" i="1"/>
  <c r="U54" i="1"/>
  <c r="U115" i="1"/>
  <c r="U50" i="1"/>
  <c r="U185" i="1"/>
  <c r="U137" i="1"/>
  <c r="U158" i="1"/>
  <c r="U78" i="1"/>
  <c r="U169" i="1"/>
  <c r="U156" i="1"/>
  <c r="U57" i="1"/>
  <c r="U42" i="1"/>
  <c r="U97" i="1"/>
  <c r="U199" i="1"/>
  <c r="U133" i="1"/>
  <c r="U71" i="1"/>
  <c r="U69" i="1"/>
  <c r="U60" i="1"/>
  <c r="U191" i="1"/>
  <c r="U141" i="1"/>
  <c r="U27" i="1"/>
  <c r="U41" i="1"/>
  <c r="T93" i="1"/>
  <c r="U131" i="1"/>
  <c r="U103" i="1"/>
  <c r="U164" i="1"/>
  <c r="U144" i="1"/>
  <c r="T91" i="1"/>
  <c r="T56" i="1"/>
  <c r="T86" i="1"/>
  <c r="T81" i="1"/>
  <c r="T87" i="1"/>
  <c r="T59" i="1"/>
  <c r="U134" i="1"/>
  <c r="U25" i="1"/>
  <c r="U122" i="1"/>
  <c r="T169" i="1"/>
  <c r="T97" i="1"/>
  <c r="T199" i="1"/>
  <c r="T191" i="1"/>
  <c r="T151" i="1"/>
  <c r="T43" i="1"/>
  <c r="T52" i="1"/>
  <c r="T179" i="1"/>
  <c r="T45" i="1"/>
  <c r="T77" i="1"/>
  <c r="T162" i="1"/>
  <c r="T76" i="1"/>
  <c r="T73" i="1"/>
  <c r="T85" i="1"/>
  <c r="T187" i="1"/>
  <c r="T155" i="1"/>
  <c r="T46" i="1"/>
  <c r="T24" i="1"/>
  <c r="T109" i="1"/>
  <c r="T182" i="1"/>
  <c r="T138" i="1"/>
  <c r="T166" i="1"/>
  <c r="T100" i="1"/>
  <c r="T105" i="1"/>
  <c r="T96" i="1"/>
  <c r="T33" i="1"/>
  <c r="T150" i="1"/>
  <c r="T190" i="1"/>
  <c r="T149" i="1"/>
  <c r="T159" i="1"/>
  <c r="T112" i="1"/>
  <c r="T196" i="1"/>
  <c r="T47" i="1"/>
  <c r="T120" i="1"/>
  <c r="T183" i="1"/>
  <c r="T167" i="1"/>
  <c r="T106" i="1"/>
  <c r="T74" i="1"/>
  <c r="T145" i="1"/>
  <c r="T61" i="1"/>
  <c r="T108" i="1"/>
  <c r="T189" i="1"/>
  <c r="T124" i="1"/>
  <c r="T70" i="1"/>
  <c r="T152" i="1"/>
  <c r="T180" i="1"/>
  <c r="T139" i="1"/>
  <c r="T154" i="1"/>
  <c r="T175" i="1"/>
  <c r="T20" i="1"/>
  <c r="T188" i="1"/>
  <c r="T170" i="1"/>
  <c r="T62" i="1"/>
  <c r="T55" i="1"/>
  <c r="T171" i="1"/>
  <c r="T39" i="1"/>
  <c r="T157" i="1"/>
  <c r="T131" i="1"/>
  <c r="T143" i="1"/>
  <c r="T103" i="1"/>
  <c r="T38" i="1"/>
  <c r="T164" i="1"/>
  <c r="T129" i="1"/>
  <c r="T144" i="1"/>
  <c r="U170" i="1"/>
  <c r="U55" i="1"/>
  <c r="U39" i="1"/>
  <c r="U143" i="1"/>
  <c r="U38" i="1"/>
  <c r="U129" i="1"/>
  <c r="T67" i="1"/>
  <c r="T172" i="1"/>
  <c r="T29" i="1"/>
  <c r="T79" i="1"/>
  <c r="U87" i="1"/>
  <c r="U59" i="1"/>
  <c r="U148" i="1"/>
  <c r="U146" i="1"/>
  <c r="U65" i="1"/>
  <c r="U23" i="1"/>
  <c r="U79" i="1"/>
  <c r="T156" i="1"/>
  <c r="T69" i="1"/>
  <c r="T27" i="1"/>
  <c r="U151" i="1"/>
  <c r="U43" i="1"/>
  <c r="U52" i="1"/>
  <c r="U179" i="1"/>
  <c r="U45" i="1"/>
  <c r="U77" i="1"/>
  <c r="U162" i="1"/>
  <c r="U76" i="1"/>
  <c r="U73" i="1"/>
  <c r="U85" i="1"/>
  <c r="U187" i="1"/>
  <c r="U155" i="1"/>
  <c r="U46" i="1"/>
  <c r="U24" i="1"/>
  <c r="U109" i="1"/>
  <c r="U182" i="1"/>
  <c r="U138" i="1"/>
  <c r="U166" i="1"/>
  <c r="U100" i="1"/>
  <c r="U105" i="1"/>
  <c r="U96" i="1"/>
  <c r="U33" i="1"/>
  <c r="U150" i="1"/>
  <c r="U190" i="1"/>
  <c r="U149" i="1"/>
  <c r="U159" i="1"/>
  <c r="U112" i="1"/>
  <c r="U196" i="1"/>
  <c r="U47" i="1"/>
  <c r="U120" i="1"/>
  <c r="U183" i="1"/>
  <c r="U167" i="1"/>
  <c r="U106" i="1"/>
  <c r="U74" i="1"/>
  <c r="U145" i="1"/>
  <c r="U61" i="1"/>
  <c r="U108" i="1"/>
  <c r="U189" i="1"/>
  <c r="U124" i="1"/>
  <c r="U70" i="1"/>
  <c r="U152" i="1"/>
  <c r="U180" i="1"/>
  <c r="U139" i="1"/>
  <c r="U154" i="1"/>
  <c r="U175" i="1"/>
  <c r="U20" i="1"/>
  <c r="U188" i="1"/>
  <c r="U62" i="1"/>
  <c r="U171" i="1"/>
  <c r="U157" i="1"/>
  <c r="T177" i="1"/>
  <c r="T121" i="1"/>
  <c r="T198" i="1"/>
  <c r="T146" i="1"/>
  <c r="T65" i="1"/>
  <c r="T23" i="1"/>
  <c r="U51" i="1"/>
  <c r="U135" i="1"/>
  <c r="U84" i="1"/>
  <c r="U26" i="1"/>
  <c r="U83" i="1"/>
  <c r="U82" i="1"/>
  <c r="U123" i="1"/>
  <c r="U30" i="1"/>
  <c r="U168" i="1"/>
  <c r="U110" i="1"/>
  <c r="U44" i="1"/>
  <c r="U116" i="1"/>
  <c r="U64" i="1"/>
  <c r="U31" i="1"/>
  <c r="U118" i="1"/>
  <c r="U114" i="1"/>
  <c r="U195" i="1"/>
  <c r="U36" i="1"/>
  <c r="U99" i="1"/>
  <c r="U176" i="1"/>
  <c r="U194" i="1"/>
  <c r="U88" i="1"/>
  <c r="U165" i="1"/>
  <c r="U186" i="1"/>
  <c r="U35" i="1"/>
  <c r="U89" i="1"/>
  <c r="U125" i="1"/>
  <c r="U75" i="1"/>
  <c r="T78" i="1"/>
  <c r="T57" i="1"/>
  <c r="T42" i="1"/>
  <c r="T60" i="1"/>
  <c r="T41" i="1"/>
  <c r="U93" i="1"/>
  <c r="T134" i="1"/>
  <c r="T25" i="1"/>
  <c r="T122" i="1"/>
  <c r="T51" i="1"/>
  <c r="T135" i="1"/>
  <c r="T84" i="1"/>
  <c r="T26" i="1"/>
  <c r="T83" i="1"/>
  <c r="T82" i="1"/>
  <c r="T123" i="1"/>
  <c r="T30" i="1"/>
  <c r="T168" i="1"/>
  <c r="T110" i="1"/>
  <c r="T44" i="1"/>
  <c r="T116" i="1"/>
  <c r="T64" i="1"/>
  <c r="T31" i="1"/>
  <c r="T118" i="1"/>
  <c r="T114" i="1"/>
  <c r="T195" i="1"/>
  <c r="T36" i="1"/>
  <c r="T99" i="1"/>
  <c r="T176" i="1"/>
  <c r="T194" i="1"/>
  <c r="T88" i="1"/>
  <c r="T165" i="1"/>
  <c r="T186" i="1"/>
  <c r="T35" i="1"/>
  <c r="T89" i="1"/>
  <c r="T125" i="1"/>
  <c r="T75" i="1"/>
  <c r="T72" i="1"/>
  <c r="T174" i="1"/>
  <c r="T200" i="1"/>
  <c r="T147" i="1"/>
  <c r="T161" i="1"/>
  <c r="T22" i="1"/>
  <c r="T136" i="1"/>
  <c r="T142" i="1"/>
  <c r="T92" i="1"/>
  <c r="T153" i="1"/>
  <c r="T66" i="1"/>
  <c r="T63" i="1"/>
  <c r="T148" i="1"/>
  <c r="U174" i="1"/>
  <c r="U200" i="1"/>
  <c r="U147" i="1"/>
  <c r="U161" i="1"/>
  <c r="U22" i="1"/>
  <c r="U136" i="1"/>
  <c r="U142" i="1"/>
  <c r="U92" i="1"/>
  <c r="U153" i="1"/>
  <c r="U91" i="1"/>
  <c r="U67" i="1"/>
  <c r="U66" i="1"/>
  <c r="U177" i="1"/>
  <c r="U121" i="1"/>
  <c r="U198" i="1"/>
  <c r="U56" i="1"/>
  <c r="U86" i="1"/>
  <c r="U81" i="1"/>
  <c r="U172" i="1"/>
  <c r="U29" i="1"/>
  <c r="U63" i="1"/>
  <c r="T71" i="1"/>
  <c r="U72" i="1"/>
  <c r="T141" i="1"/>
  <c r="T53" i="1"/>
  <c r="T102" i="1"/>
  <c r="T37" i="1"/>
  <c r="T68" i="1"/>
  <c r="T117" i="1"/>
  <c r="T192" i="1"/>
  <c r="T160" i="1"/>
  <c r="T28" i="1"/>
  <c r="T98" i="1"/>
  <c r="T49" i="1"/>
  <c r="T173" i="1"/>
  <c r="T48" i="1"/>
  <c r="T101" i="1"/>
  <c r="T128" i="1"/>
  <c r="T95" i="1"/>
  <c r="T132" i="1"/>
  <c r="T80" i="1"/>
  <c r="T119" i="1"/>
  <c r="T140" i="1"/>
  <c r="T32" i="1"/>
  <c r="T113" i="1"/>
  <c r="T21" i="1"/>
  <c r="T107" i="1"/>
  <c r="T181" i="1"/>
  <c r="T197" i="1"/>
  <c r="T104" i="1"/>
  <c r="T94" i="1"/>
  <c r="T184" i="1"/>
  <c r="T58" i="1"/>
  <c r="T90" i="1"/>
  <c r="T127" i="1"/>
  <c r="T126" i="1"/>
  <c r="T130" i="1"/>
  <c r="T193" i="1"/>
  <c r="T111" i="1"/>
  <c r="T178" i="1"/>
  <c r="T34" i="1"/>
  <c r="T163" i="1"/>
  <c r="T40" i="1"/>
  <c r="T54" i="1"/>
  <c r="T115" i="1"/>
  <c r="T50" i="1"/>
  <c r="T185" i="1"/>
  <c r="T137" i="1"/>
  <c r="T158" i="1"/>
  <c r="T133" i="1"/>
  <c r="AD18" i="6" l="1"/>
  <c r="AD17" i="6"/>
  <c r="AD19" i="6"/>
  <c r="AC19" i="6"/>
  <c r="AC18" i="6"/>
  <c r="AC17" i="6"/>
  <c r="AA19" i="6"/>
  <c r="AA18" i="6"/>
  <c r="AA17" i="6"/>
  <c r="Z17" i="6"/>
  <c r="Z19" i="6"/>
  <c r="Z18" i="6"/>
  <c r="O199" i="1"/>
  <c r="U17" i="1" l="1"/>
  <c r="U18" i="1"/>
  <c r="U19" i="1"/>
  <c r="X18" i="1" l="1"/>
  <c r="X18" i="6"/>
  <c r="X17" i="1"/>
  <c r="X17" i="6"/>
  <c r="X19" i="1"/>
  <c r="X19" i="6"/>
  <c r="W18" i="1"/>
  <c r="W18" i="6"/>
  <c r="W17" i="1"/>
  <c r="W17" i="6"/>
  <c r="W19" i="1"/>
  <c r="W19" i="6"/>
  <c r="O50" i="1"/>
  <c r="P84" i="1"/>
  <c r="P70" i="1"/>
  <c r="Q170" i="1"/>
  <c r="O49" i="1"/>
  <c r="O102" i="1"/>
  <c r="P128" i="1"/>
  <c r="Q72" i="1"/>
  <c r="O29" i="1"/>
  <c r="O46" i="1"/>
  <c r="P77" i="1"/>
  <c r="Q105" i="1"/>
  <c r="O60" i="1"/>
  <c r="P125" i="1"/>
  <c r="P185" i="1"/>
  <c r="P172" i="1"/>
  <c r="Q112" i="1"/>
  <c r="Q165" i="1"/>
  <c r="Q38" i="1"/>
  <c r="Q175" i="1"/>
  <c r="O183" i="1"/>
  <c r="Q109" i="1"/>
  <c r="P145" i="1"/>
  <c r="O167" i="1"/>
  <c r="P112" i="1"/>
  <c r="O136" i="1"/>
  <c r="Q148" i="1"/>
  <c r="Q20" i="1"/>
  <c r="P59" i="1"/>
  <c r="P20" i="1"/>
  <c r="Q92" i="1"/>
  <c r="P126" i="1"/>
  <c r="O73" i="1"/>
  <c r="O72" i="1"/>
  <c r="O124" i="1"/>
  <c r="P96" i="1"/>
  <c r="P186" i="1"/>
  <c r="P55" i="1"/>
  <c r="O63" i="1"/>
  <c r="O99" i="1"/>
  <c r="P49" i="1"/>
  <c r="P154" i="1"/>
  <c r="P85" i="1"/>
  <c r="Q91" i="1"/>
  <c r="P127" i="1"/>
  <c r="Q163" i="1"/>
  <c r="P33" i="1"/>
  <c r="O163" i="1"/>
  <c r="O154" i="1"/>
  <c r="P137" i="1"/>
  <c r="P182" i="1"/>
  <c r="Q58" i="1"/>
  <c r="P142" i="1"/>
  <c r="P92" i="1"/>
  <c r="P43" i="1"/>
  <c r="O110" i="1"/>
  <c r="Q166" i="1"/>
  <c r="O158" i="1"/>
  <c r="P151" i="1"/>
  <c r="P94" i="1"/>
  <c r="Q182" i="1"/>
  <c r="Q86" i="1"/>
  <c r="Q192" i="1"/>
  <c r="O45" i="1"/>
  <c r="P61" i="1"/>
  <c r="P118" i="1"/>
  <c r="P146" i="1"/>
  <c r="O133" i="1"/>
  <c r="O119" i="1"/>
  <c r="P192" i="1"/>
  <c r="Q49" i="1"/>
  <c r="O21" i="1"/>
  <c r="P66" i="1"/>
  <c r="P122" i="1"/>
  <c r="O176" i="1"/>
  <c r="O64" i="1"/>
  <c r="O40" i="1"/>
  <c r="P114" i="1"/>
  <c r="Q103" i="1"/>
  <c r="Q83" i="1"/>
  <c r="O43" i="1"/>
  <c r="P200" i="1"/>
  <c r="O149" i="1"/>
  <c r="P161" i="1"/>
  <c r="P78" i="1"/>
  <c r="Q101" i="1"/>
  <c r="O128" i="1"/>
  <c r="P131" i="1"/>
  <c r="Q130" i="1"/>
  <c r="O140" i="1"/>
  <c r="O51" i="1"/>
  <c r="P76" i="1"/>
  <c r="Q61" i="1"/>
  <c r="Q111" i="1"/>
  <c r="P107" i="1"/>
  <c r="Q62" i="1"/>
  <c r="Q108" i="1"/>
  <c r="O108" i="1"/>
  <c r="O157" i="1"/>
  <c r="Q178" i="1"/>
  <c r="P111" i="1"/>
  <c r="Q129" i="1"/>
  <c r="P88" i="1"/>
  <c r="P195" i="1"/>
  <c r="O93" i="1"/>
  <c r="Q128" i="1"/>
  <c r="O100" i="1"/>
  <c r="Q152" i="1"/>
  <c r="P39" i="1"/>
  <c r="Q33" i="1"/>
  <c r="P89" i="1"/>
  <c r="Q22" i="1"/>
  <c r="Q51" i="1"/>
  <c r="O155" i="1"/>
  <c r="P31" i="1"/>
  <c r="O138" i="1"/>
  <c r="Q189" i="1"/>
  <c r="Q124" i="1"/>
  <c r="Q82" i="1"/>
  <c r="Q139" i="1"/>
  <c r="O27" i="1"/>
  <c r="O171" i="1"/>
  <c r="P148" i="1"/>
  <c r="Q122" i="1"/>
  <c r="Q131" i="1"/>
  <c r="O121" i="1"/>
  <c r="O104" i="1"/>
  <c r="P120" i="1"/>
  <c r="O38" i="1"/>
  <c r="Q173" i="1"/>
  <c r="P167" i="1"/>
  <c r="Q143" i="1"/>
  <c r="Q174" i="1"/>
  <c r="P83" i="1"/>
  <c r="O144" i="1"/>
  <c r="O200" i="1"/>
  <c r="P163" i="1"/>
  <c r="Q30" i="1"/>
  <c r="P179" i="1"/>
  <c r="Q198" i="1"/>
  <c r="P117" i="1"/>
  <c r="O189" i="1"/>
  <c r="Q160" i="1"/>
  <c r="P119" i="1"/>
  <c r="P75" i="1"/>
  <c r="P64" i="1"/>
  <c r="O143" i="1"/>
  <c r="Q32" i="1"/>
  <c r="P36" i="1"/>
  <c r="Q48" i="1"/>
  <c r="O55" i="1"/>
  <c r="P173" i="1"/>
  <c r="O84" i="1"/>
  <c r="O67" i="1"/>
  <c r="Q197" i="1"/>
  <c r="O184" i="1"/>
  <c r="O122" i="1"/>
  <c r="Q185" i="1"/>
  <c r="Q133" i="1"/>
  <c r="O65" i="1"/>
  <c r="Q107" i="1"/>
  <c r="Q115" i="1"/>
  <c r="O98" i="1"/>
  <c r="P63" i="1"/>
  <c r="Q188" i="1"/>
  <c r="P50" i="1"/>
  <c r="P54" i="1"/>
  <c r="Q34" i="1"/>
  <c r="Q195" i="1"/>
  <c r="P149" i="1"/>
  <c r="O175" i="1"/>
  <c r="P184" i="1"/>
  <c r="Q199" i="1"/>
  <c r="Q89" i="1"/>
  <c r="P164" i="1"/>
  <c r="Q25" i="1"/>
  <c r="O198" i="1"/>
  <c r="Q42" i="1"/>
  <c r="P41" i="1"/>
  <c r="Q135" i="1"/>
  <c r="P158" i="1"/>
  <c r="O125" i="1"/>
  <c r="Q145" i="1"/>
  <c r="O114" i="1"/>
  <c r="O90" i="1"/>
  <c r="O137" i="1"/>
  <c r="O153" i="1"/>
  <c r="O159" i="1"/>
  <c r="Q35" i="1"/>
  <c r="P153" i="1"/>
  <c r="P187" i="1"/>
  <c r="O33" i="1"/>
  <c r="O111" i="1"/>
  <c r="Q118" i="1"/>
  <c r="Q24" i="1"/>
  <c r="Q52" i="1"/>
  <c r="P74" i="1"/>
  <c r="P69" i="1"/>
  <c r="O145" i="1"/>
  <c r="P72" i="1"/>
  <c r="Q104" i="1"/>
  <c r="O57" i="1"/>
  <c r="P100" i="1"/>
  <c r="P124" i="1"/>
  <c r="O87" i="1"/>
  <c r="P30" i="1"/>
  <c r="P67" i="1"/>
  <c r="P198" i="1"/>
  <c r="P136" i="1"/>
  <c r="O92" i="1"/>
  <c r="O62" i="1"/>
  <c r="Q95" i="1"/>
  <c r="P170" i="1"/>
  <c r="P71" i="1"/>
  <c r="Q99" i="1"/>
  <c r="O71" i="1"/>
  <c r="Q123" i="1"/>
  <c r="P91" i="1"/>
  <c r="Q164" i="1"/>
  <c r="P52" i="1"/>
  <c r="O28" i="1"/>
  <c r="O130" i="1"/>
  <c r="O172" i="1"/>
  <c r="Q155" i="1"/>
  <c r="P29" i="1"/>
  <c r="P140" i="1"/>
  <c r="P191" i="1"/>
  <c r="P189" i="1"/>
  <c r="Q126" i="1"/>
  <c r="O75" i="1"/>
  <c r="Q88" i="1"/>
  <c r="O148" i="1"/>
  <c r="Q150" i="1"/>
  <c r="Q149" i="1"/>
  <c r="O91" i="1"/>
  <c r="P143" i="1"/>
  <c r="O66" i="1"/>
  <c r="Q78" i="1"/>
  <c r="P138" i="1"/>
  <c r="P188" i="1"/>
  <c r="P135" i="1"/>
  <c r="P116" i="1"/>
  <c r="O26" i="1"/>
  <c r="O101" i="1"/>
  <c r="Q65" i="1"/>
  <c r="O196" i="1"/>
  <c r="P38" i="1"/>
  <c r="P95" i="1"/>
  <c r="O131" i="1"/>
  <c r="O180" i="1"/>
  <c r="P42" i="1"/>
  <c r="Q97" i="1"/>
  <c r="O32" i="1"/>
  <c r="O166" i="1"/>
  <c r="O174" i="1"/>
  <c r="O169" i="1"/>
  <c r="O24" i="1"/>
  <c r="Q177" i="1"/>
  <c r="P165" i="1"/>
  <c r="P73" i="1"/>
  <c r="O42" i="1"/>
  <c r="O190" i="1"/>
  <c r="P102" i="1"/>
  <c r="P80" i="1"/>
  <c r="Q159" i="1"/>
  <c r="Q121" i="1"/>
  <c r="Q81" i="1"/>
  <c r="P109" i="1"/>
  <c r="P177" i="1"/>
  <c r="Q47" i="1"/>
  <c r="Q90" i="1"/>
  <c r="O192" i="1"/>
  <c r="Q176" i="1"/>
  <c r="Q100" i="1"/>
  <c r="O164" i="1"/>
  <c r="O173" i="1"/>
  <c r="P121" i="1"/>
  <c r="O94" i="1"/>
  <c r="Q134" i="1"/>
  <c r="O160" i="1"/>
  <c r="O139" i="1"/>
  <c r="O77" i="1"/>
  <c r="P180" i="1"/>
  <c r="P152" i="1"/>
  <c r="O178" i="1"/>
  <c r="P25" i="1"/>
  <c r="Q141" i="1"/>
  <c r="Q110" i="1"/>
  <c r="O59" i="1"/>
  <c r="Q147" i="1"/>
  <c r="Q158" i="1"/>
  <c r="Q67" i="1"/>
  <c r="Q59" i="1"/>
  <c r="Q167" i="1"/>
  <c r="O123" i="1"/>
  <c r="Q43" i="1"/>
  <c r="O179" i="1"/>
  <c r="Q46" i="1"/>
  <c r="Q136" i="1"/>
  <c r="O186" i="1"/>
  <c r="O177" i="1"/>
  <c r="P103" i="1"/>
  <c r="Q45" i="1"/>
  <c r="O22" i="1"/>
  <c r="Q68" i="1"/>
  <c r="P178" i="1"/>
  <c r="P27" i="1"/>
  <c r="P134" i="1"/>
  <c r="Q29" i="1"/>
  <c r="Q39" i="1"/>
  <c r="O115" i="1"/>
  <c r="O20" i="1"/>
  <c r="O156" i="1"/>
  <c r="P37" i="1"/>
  <c r="Q146" i="1"/>
  <c r="Q132" i="1"/>
  <c r="O58" i="1"/>
  <c r="Q57" i="1"/>
  <c r="P129" i="1"/>
  <c r="P32" i="1"/>
  <c r="O127" i="1"/>
  <c r="Q74" i="1"/>
  <c r="Q153" i="1"/>
  <c r="P40" i="1"/>
  <c r="P199" i="1"/>
  <c r="O150" i="1"/>
  <c r="O162" i="1"/>
  <c r="Q60" i="1"/>
  <c r="O74" i="1"/>
  <c r="P56" i="1"/>
  <c r="O116" i="1"/>
  <c r="O113" i="1"/>
  <c r="O118" i="1"/>
  <c r="O195" i="1"/>
  <c r="P23" i="1"/>
  <c r="P87" i="1"/>
  <c r="P132" i="1"/>
  <c r="P115" i="1"/>
  <c r="P166" i="1"/>
  <c r="Q117" i="1"/>
  <c r="O78" i="1"/>
  <c r="O117" i="1"/>
  <c r="Q102" i="1"/>
  <c r="Q44" i="1"/>
  <c r="Q55" i="1"/>
  <c r="P171" i="1"/>
  <c r="O80" i="1"/>
  <c r="Q70" i="1"/>
  <c r="Q190" i="1"/>
  <c r="P174" i="1"/>
  <c r="P190" i="1"/>
  <c r="O187" i="1"/>
  <c r="O129" i="1"/>
  <c r="Q73" i="1"/>
  <c r="O126" i="1"/>
  <c r="Q172" i="1"/>
  <c r="Q85" i="1"/>
  <c r="O152" i="1"/>
  <c r="O161" i="1"/>
  <c r="Q94" i="1"/>
  <c r="P155" i="1"/>
  <c r="P99" i="1"/>
  <c r="O168" i="1"/>
  <c r="P197" i="1"/>
  <c r="Q21" i="1"/>
  <c r="Q41" i="1"/>
  <c r="O69" i="1"/>
  <c r="P68" i="1"/>
  <c r="P183" i="1"/>
  <c r="P147" i="1"/>
  <c r="Q120" i="1"/>
  <c r="O25" i="1"/>
  <c r="O191" i="1"/>
  <c r="Q187" i="1"/>
  <c r="O97" i="1"/>
  <c r="P24" i="1"/>
  <c r="O70" i="1"/>
  <c r="O193" i="1"/>
  <c r="P21" i="1"/>
  <c r="O30" i="1"/>
  <c r="Q138" i="1"/>
  <c r="Q151" i="1"/>
  <c r="O185" i="1"/>
  <c r="O135" i="1"/>
  <c r="Q180" i="1"/>
  <c r="Q37" i="1"/>
  <c r="O37" i="1"/>
  <c r="O120" i="1"/>
  <c r="O53" i="1"/>
  <c r="P53" i="1"/>
  <c r="Q168" i="1"/>
  <c r="O142" i="1"/>
  <c r="O81" i="1"/>
  <c r="P81" i="1"/>
  <c r="Q63" i="1"/>
  <c r="P22" i="1"/>
  <c r="O134" i="1"/>
  <c r="O79" i="1"/>
  <c r="O132" i="1"/>
  <c r="Q184" i="1"/>
  <c r="P57" i="1"/>
  <c r="O170" i="1"/>
  <c r="O95" i="1"/>
  <c r="P51" i="1"/>
  <c r="P176" i="1"/>
  <c r="Q64" i="1"/>
  <c r="Q75" i="1"/>
  <c r="Q77" i="1"/>
  <c r="Q140" i="1"/>
  <c r="O188" i="1"/>
  <c r="Q119" i="1"/>
  <c r="P105" i="1"/>
  <c r="P34" i="1"/>
  <c r="Q157" i="1"/>
  <c r="O146" i="1"/>
  <c r="O86" i="1"/>
  <c r="Q66" i="1"/>
  <c r="P130" i="1"/>
  <c r="P106" i="1"/>
  <c r="Q84" i="1"/>
  <c r="P123" i="1"/>
  <c r="Q162" i="1"/>
  <c r="O182" i="1"/>
  <c r="O147" i="1"/>
  <c r="P175" i="1"/>
  <c r="O68" i="1"/>
  <c r="O141" i="1"/>
  <c r="O194" i="1"/>
  <c r="Q144" i="1"/>
  <c r="O197" i="1"/>
  <c r="Q69" i="1"/>
  <c r="P162" i="1"/>
  <c r="O106" i="1"/>
  <c r="P60" i="1"/>
  <c r="P168" i="1"/>
  <c r="P26" i="1"/>
  <c r="O23" i="1"/>
  <c r="O44" i="1"/>
  <c r="P110" i="1"/>
  <c r="O48" i="1"/>
  <c r="O105" i="1"/>
  <c r="Q200" i="1"/>
  <c r="P48" i="1"/>
  <c r="Q23" i="1"/>
  <c r="P45" i="1"/>
  <c r="Q93" i="1"/>
  <c r="Q161" i="1"/>
  <c r="P113" i="1"/>
  <c r="Q106" i="1"/>
  <c r="Q154" i="1"/>
  <c r="O54" i="1"/>
  <c r="O151" i="1"/>
  <c r="P196" i="1"/>
  <c r="Q127" i="1"/>
  <c r="Q125" i="1"/>
  <c r="O31" i="1"/>
  <c r="Q142" i="1"/>
  <c r="P46" i="1"/>
  <c r="O88" i="1"/>
  <c r="P35" i="1"/>
  <c r="P97" i="1"/>
  <c r="P44" i="1"/>
  <c r="Q169" i="1"/>
  <c r="Q71" i="1"/>
  <c r="P79" i="1"/>
  <c r="O85" i="1"/>
  <c r="Q156" i="1"/>
  <c r="Q137" i="1"/>
  <c r="P101" i="1"/>
  <c r="P139" i="1"/>
  <c r="P156" i="1"/>
  <c r="P144" i="1"/>
  <c r="O109" i="1"/>
  <c r="Q53" i="1"/>
  <c r="P150" i="1"/>
  <c r="Q80" i="1"/>
  <c r="P62" i="1"/>
  <c r="P90" i="1"/>
  <c r="P159" i="1"/>
  <c r="O61" i="1"/>
  <c r="Q96" i="1"/>
  <c r="O39" i="1"/>
  <c r="O96" i="1"/>
  <c r="P98" i="1"/>
  <c r="Q54" i="1"/>
  <c r="Q171" i="1"/>
  <c r="Q50" i="1"/>
  <c r="O103" i="1"/>
  <c r="Q79" i="1"/>
  <c r="P28" i="1"/>
  <c r="P65" i="1"/>
  <c r="Q193" i="1"/>
  <c r="Q76" i="1"/>
  <c r="O41" i="1"/>
  <c r="Q114" i="1"/>
  <c r="O112" i="1"/>
  <c r="P108" i="1"/>
  <c r="O76" i="1"/>
  <c r="O35" i="1"/>
  <c r="O107" i="1"/>
  <c r="P58" i="1"/>
  <c r="P133" i="1"/>
  <c r="P157" i="1"/>
  <c r="O36" i="1"/>
  <c r="Q98" i="1"/>
  <c r="P193" i="1"/>
  <c r="O165" i="1"/>
  <c r="O47" i="1"/>
  <c r="O181" i="1"/>
  <c r="Q26" i="1"/>
  <c r="P141" i="1"/>
  <c r="Q113" i="1"/>
  <c r="Q36" i="1"/>
  <c r="Q179" i="1"/>
  <c r="P86" i="1"/>
  <c r="O52" i="1"/>
  <c r="P82" i="1"/>
  <c r="Q181" i="1"/>
  <c r="Q56" i="1"/>
  <c r="O34" i="1"/>
  <c r="Q28" i="1"/>
  <c r="P181" i="1"/>
  <c r="P104" i="1"/>
  <c r="Q87" i="1"/>
  <c r="P194" i="1"/>
  <c r="P93" i="1"/>
  <c r="O56" i="1"/>
  <c r="P47" i="1"/>
  <c r="O82" i="1"/>
  <c r="Q191" i="1"/>
  <c r="Q40" i="1"/>
  <c r="O83" i="1"/>
  <c r="P169" i="1"/>
  <c r="P160" i="1"/>
  <c r="Q116" i="1"/>
  <c r="Q27" i="1"/>
  <c r="O89" i="1"/>
  <c r="Q31" i="1"/>
  <c r="R165" i="1"/>
  <c r="R43" i="1"/>
  <c r="R42" i="1"/>
  <c r="R108" i="1"/>
  <c r="R168" i="1"/>
  <c r="R127" i="1"/>
  <c r="R117" i="1"/>
  <c r="R107" i="1"/>
  <c r="R172" i="1"/>
  <c r="R84" i="1"/>
  <c r="R71" i="1"/>
  <c r="R31" i="1"/>
  <c r="R120" i="1"/>
  <c r="R69" i="1"/>
  <c r="R51" i="1"/>
  <c r="R169" i="1"/>
  <c r="R101" i="1"/>
  <c r="R34" i="1"/>
  <c r="R136" i="1"/>
  <c r="R102" i="1"/>
  <c r="R35" i="1"/>
  <c r="R73" i="1"/>
  <c r="R138" i="1"/>
  <c r="R81" i="1"/>
  <c r="R95" i="1"/>
  <c r="R63" i="1"/>
  <c r="R68" i="1"/>
  <c r="R66" i="1"/>
  <c r="R58" i="1"/>
  <c r="R189" i="1"/>
  <c r="R24" i="1"/>
  <c r="R28" i="1"/>
  <c r="R167" i="1"/>
  <c r="R54" i="1"/>
  <c r="R137" i="1"/>
  <c r="R162" i="1"/>
  <c r="R38" i="1"/>
  <c r="R190" i="1"/>
  <c r="R126" i="1"/>
  <c r="R91" i="1"/>
  <c r="R55" i="1"/>
  <c r="R97" i="1"/>
  <c r="R145" i="1"/>
  <c r="R148" i="1"/>
  <c r="R46" i="1"/>
  <c r="R79" i="1"/>
  <c r="R150" i="1"/>
  <c r="R196" i="1"/>
  <c r="R32" i="1"/>
  <c r="R155" i="1"/>
  <c r="R121" i="1"/>
  <c r="R53" i="1"/>
  <c r="R93" i="1"/>
  <c r="R157" i="1"/>
  <c r="R27" i="1"/>
  <c r="R140" i="1"/>
  <c r="R187" i="1"/>
  <c r="R161" i="1"/>
  <c r="R110" i="1"/>
  <c r="R173" i="1"/>
  <c r="R154" i="1"/>
  <c r="R153" i="1"/>
  <c r="R182" i="1"/>
  <c r="R100" i="1"/>
  <c r="R184" i="1"/>
  <c r="R185" i="1"/>
  <c r="R57" i="1"/>
  <c r="R20" i="1"/>
  <c r="R39" i="1"/>
  <c r="R64" i="1"/>
  <c r="R163" i="1"/>
  <c r="R45" i="1"/>
  <c r="R166" i="1"/>
  <c r="R134" i="1"/>
  <c r="R176" i="1"/>
  <c r="R132" i="1"/>
  <c r="R94" i="1"/>
  <c r="R112" i="1"/>
  <c r="R160" i="1"/>
  <c r="R152" i="1"/>
  <c r="R122" i="1"/>
  <c r="R179" i="1"/>
  <c r="R115" i="1"/>
  <c r="R158" i="1"/>
  <c r="R175" i="1"/>
  <c r="R116" i="1"/>
  <c r="R50" i="1"/>
  <c r="R135" i="1"/>
  <c r="R65" i="1"/>
  <c r="R191" i="1"/>
  <c r="R144" i="1"/>
  <c r="R119" i="1"/>
  <c r="R56" i="1"/>
  <c r="R129" i="1"/>
  <c r="R82" i="1"/>
  <c r="R26" i="1"/>
  <c r="R104" i="1"/>
  <c r="R77" i="1"/>
  <c r="R131" i="1"/>
  <c r="R133" i="1"/>
  <c r="R194" i="1"/>
  <c r="R125" i="1"/>
  <c r="R151" i="1"/>
  <c r="R62" i="1"/>
  <c r="R130" i="1"/>
  <c r="R80" i="1"/>
  <c r="R142" i="1"/>
  <c r="R147" i="1"/>
  <c r="R139" i="1"/>
  <c r="R59" i="1"/>
  <c r="R149" i="1"/>
  <c r="R195" i="1"/>
  <c r="R36" i="1"/>
  <c r="R143" i="1"/>
  <c r="R21" i="1"/>
  <c r="R199" i="1"/>
  <c r="R78" i="1"/>
  <c r="R40" i="1"/>
  <c r="R61" i="1"/>
  <c r="R83" i="1"/>
  <c r="R105" i="1"/>
  <c r="R41" i="1"/>
  <c r="R106" i="1"/>
  <c r="R193" i="1"/>
  <c r="R70" i="1"/>
  <c r="R188" i="1"/>
  <c r="R128" i="1"/>
  <c r="R186" i="1"/>
  <c r="R156" i="1"/>
  <c r="R192" i="1"/>
  <c r="R109" i="1"/>
  <c r="R44" i="1"/>
  <c r="R88" i="1"/>
  <c r="R178" i="1"/>
  <c r="R146" i="1"/>
  <c r="R92" i="1"/>
  <c r="R23" i="1"/>
  <c r="R37" i="1"/>
  <c r="R180" i="1"/>
  <c r="R181" i="1"/>
  <c r="R52" i="1"/>
  <c r="R96" i="1"/>
  <c r="R183" i="1"/>
  <c r="R89" i="1"/>
  <c r="R118" i="1"/>
  <c r="R76" i="1"/>
  <c r="R141" i="1"/>
  <c r="R29" i="1"/>
  <c r="R72" i="1"/>
  <c r="R174" i="1"/>
  <c r="R111" i="1"/>
  <c r="R159" i="1"/>
  <c r="R85" i="1"/>
  <c r="R99" i="1"/>
  <c r="R30" i="1"/>
  <c r="R67" i="1"/>
  <c r="R87" i="1"/>
  <c r="R49" i="1"/>
  <c r="R103" i="1"/>
  <c r="R98" i="1"/>
  <c r="R124" i="1"/>
  <c r="R47" i="1"/>
  <c r="R86" i="1"/>
  <c r="R200" i="1"/>
  <c r="R60" i="1"/>
  <c r="R22" i="1"/>
  <c r="R197" i="1"/>
  <c r="R177" i="1"/>
  <c r="R48" i="1"/>
  <c r="R123" i="1"/>
  <c r="R90" i="1"/>
  <c r="R164" i="1"/>
  <c r="R33" i="1"/>
  <c r="R113" i="1"/>
  <c r="R198" i="1"/>
  <c r="R75" i="1"/>
  <c r="R25" i="1"/>
  <c r="R171" i="1"/>
  <c r="R74" i="1"/>
  <c r="R114" i="1"/>
  <c r="R170" i="1"/>
  <c r="N89" i="1" l="1"/>
  <c r="K89" i="1" s="1"/>
  <c r="N83" i="1"/>
  <c r="K83" i="1" s="1"/>
  <c r="N82" i="1"/>
  <c r="K82" i="1" s="1"/>
  <c r="N56" i="1"/>
  <c r="K56" i="1" s="1"/>
  <c r="N34" i="1"/>
  <c r="K34" i="1" s="1"/>
  <c r="N52" i="1"/>
  <c r="K52" i="1" s="1"/>
  <c r="N181" i="1"/>
  <c r="K181" i="1" s="1"/>
  <c r="N47" i="1"/>
  <c r="K47" i="1" s="1"/>
  <c r="N165" i="1"/>
  <c r="K165" i="1" s="1"/>
  <c r="N36" i="1"/>
  <c r="K36" i="1" s="1"/>
  <c r="N107" i="1"/>
  <c r="K107" i="1" s="1"/>
  <c r="N35" i="1"/>
  <c r="K35" i="1" s="1"/>
  <c r="N76" i="1"/>
  <c r="N112" i="1"/>
  <c r="K112" i="1" s="1"/>
  <c r="N41" i="1"/>
  <c r="K41" i="1" s="1"/>
  <c r="N103" i="1"/>
  <c r="K103" i="1" s="1"/>
  <c r="N96" i="1"/>
  <c r="K96" i="1" s="1"/>
  <c r="N39" i="1"/>
  <c r="K39" i="1" s="1"/>
  <c r="N61" i="1"/>
  <c r="K61" i="1" s="1"/>
  <c r="N109" i="1"/>
  <c r="K109" i="1" s="1"/>
  <c r="N85" i="1"/>
  <c r="K85" i="1" s="1"/>
  <c r="N88" i="1"/>
  <c r="K88" i="1" s="1"/>
  <c r="N31" i="1"/>
  <c r="K31" i="1" s="1"/>
  <c r="N151" i="1"/>
  <c r="K151" i="1" s="1"/>
  <c r="N54" i="1"/>
  <c r="K54" i="1" s="1"/>
  <c r="N105" i="1"/>
  <c r="K105" i="1" s="1"/>
  <c r="N48" i="1"/>
  <c r="K48" i="1" s="1"/>
  <c r="N44" i="1"/>
  <c r="K44" i="1" s="1"/>
  <c r="N23" i="1"/>
  <c r="K23" i="1" s="1"/>
  <c r="N106" i="1"/>
  <c r="K106" i="1" s="1"/>
  <c r="N197" i="1"/>
  <c r="K197" i="1" s="1"/>
  <c r="N194" i="1"/>
  <c r="K194" i="1" s="1"/>
  <c r="N141" i="1"/>
  <c r="K141" i="1" s="1"/>
  <c r="N68" i="1"/>
  <c r="K68" i="1" s="1"/>
  <c r="N147" i="1"/>
  <c r="K147" i="1" s="1"/>
  <c r="N182" i="1"/>
  <c r="K182" i="1" s="1"/>
  <c r="N86" i="1"/>
  <c r="K86" i="1" s="1"/>
  <c r="N146" i="1"/>
  <c r="K146" i="1" s="1"/>
  <c r="N188" i="1"/>
  <c r="K188" i="1" s="1"/>
  <c r="N95" i="1"/>
  <c r="K95" i="1" s="1"/>
  <c r="N170" i="1"/>
  <c r="K170" i="1" s="1"/>
  <c r="N132" i="1"/>
  <c r="K132" i="1" s="1"/>
  <c r="N79" i="1"/>
  <c r="K79" i="1" s="1"/>
  <c r="N134" i="1"/>
  <c r="K134" i="1" s="1"/>
  <c r="N81" i="1"/>
  <c r="K81" i="1" s="1"/>
  <c r="N142" i="1"/>
  <c r="K142" i="1" s="1"/>
  <c r="N53" i="1"/>
  <c r="K53" i="1" s="1"/>
  <c r="N120" i="1"/>
  <c r="K120" i="1" s="1"/>
  <c r="N37" i="1"/>
  <c r="K37" i="1" s="1"/>
  <c r="N135" i="1"/>
  <c r="K135" i="1" s="1"/>
  <c r="N185" i="1"/>
  <c r="K185" i="1" s="1"/>
  <c r="N30" i="1"/>
  <c r="K30" i="1" s="1"/>
  <c r="N193" i="1"/>
  <c r="K193" i="1" s="1"/>
  <c r="N70" i="1"/>
  <c r="K70" i="1" s="1"/>
  <c r="N97" i="1"/>
  <c r="K97" i="1" s="1"/>
  <c r="N191" i="1"/>
  <c r="K191" i="1" s="1"/>
  <c r="N25" i="1"/>
  <c r="K25" i="1" s="1"/>
  <c r="N69" i="1"/>
  <c r="K69" i="1" s="1"/>
  <c r="N168" i="1"/>
  <c r="K168" i="1" s="1"/>
  <c r="N161" i="1"/>
  <c r="K161" i="1" s="1"/>
  <c r="N152" i="1"/>
  <c r="K152" i="1" s="1"/>
  <c r="N126" i="1"/>
  <c r="K126" i="1" s="1"/>
  <c r="N129" i="1"/>
  <c r="K129" i="1" s="1"/>
  <c r="N187" i="1"/>
  <c r="K187" i="1" s="1"/>
  <c r="N80" i="1"/>
  <c r="K80" i="1" s="1"/>
  <c r="N117" i="1"/>
  <c r="K117" i="1" s="1"/>
  <c r="N78" i="1"/>
  <c r="K78" i="1" s="1"/>
  <c r="N195" i="1"/>
  <c r="N118" i="1"/>
  <c r="K118" i="1" s="1"/>
  <c r="N113" i="1"/>
  <c r="K113" i="1" s="1"/>
  <c r="N116" i="1"/>
  <c r="K116" i="1" s="1"/>
  <c r="N74" i="1"/>
  <c r="K74" i="1" s="1"/>
  <c r="N162" i="1"/>
  <c r="K162" i="1" s="1"/>
  <c r="N150" i="1"/>
  <c r="K150" i="1" s="1"/>
  <c r="N199" i="1"/>
  <c r="K199" i="1" s="1"/>
  <c r="N127" i="1"/>
  <c r="K127" i="1" s="1"/>
  <c r="N58" i="1"/>
  <c r="K58" i="1" s="1"/>
  <c r="N156" i="1"/>
  <c r="K156" i="1" s="1"/>
  <c r="N20" i="1"/>
  <c r="K20" i="1" s="1"/>
  <c r="N115" i="1"/>
  <c r="K115" i="1" s="1"/>
  <c r="N22" i="1"/>
  <c r="K22" i="1" s="1"/>
  <c r="N177" i="1"/>
  <c r="K177" i="1" s="1"/>
  <c r="N186" i="1"/>
  <c r="K186" i="1" s="1"/>
  <c r="N179" i="1"/>
  <c r="K179" i="1" s="1"/>
  <c r="N123" i="1"/>
  <c r="K123" i="1" s="1"/>
  <c r="N59" i="1"/>
  <c r="K59" i="1" s="1"/>
  <c r="N178" i="1"/>
  <c r="K178" i="1" s="1"/>
  <c r="N77" i="1"/>
  <c r="K77" i="1" s="1"/>
  <c r="N139" i="1"/>
  <c r="K139" i="1" s="1"/>
  <c r="N160" i="1"/>
  <c r="K160" i="1" s="1"/>
  <c r="N94" i="1"/>
  <c r="K94" i="1" s="1"/>
  <c r="N173" i="1"/>
  <c r="K173" i="1" s="1"/>
  <c r="N164" i="1"/>
  <c r="K164" i="1" s="1"/>
  <c r="N192" i="1"/>
  <c r="K192" i="1" s="1"/>
  <c r="N190" i="1"/>
  <c r="K190" i="1" s="1"/>
  <c r="N42" i="1"/>
  <c r="K42" i="1" s="1"/>
  <c r="N24" i="1"/>
  <c r="K24" i="1" s="1"/>
  <c r="N169" i="1"/>
  <c r="K169" i="1" s="1"/>
  <c r="N174" i="1"/>
  <c r="K174" i="1" s="1"/>
  <c r="N166" i="1"/>
  <c r="K166" i="1" s="1"/>
  <c r="N32" i="1"/>
  <c r="K32" i="1" s="1"/>
  <c r="N180" i="1"/>
  <c r="K180" i="1" s="1"/>
  <c r="N131" i="1"/>
  <c r="K131" i="1" s="1"/>
  <c r="N196" i="1"/>
  <c r="K196" i="1" s="1"/>
  <c r="N101" i="1"/>
  <c r="K101" i="1" s="1"/>
  <c r="N26" i="1"/>
  <c r="K26" i="1" s="1"/>
  <c r="N66" i="1"/>
  <c r="K66" i="1" s="1"/>
  <c r="N91" i="1"/>
  <c r="K91" i="1" s="1"/>
  <c r="N148" i="1"/>
  <c r="K148" i="1" s="1"/>
  <c r="N75" i="1"/>
  <c r="K75" i="1" s="1"/>
  <c r="N172" i="1"/>
  <c r="K172" i="1" s="1"/>
  <c r="N130" i="1"/>
  <c r="K130" i="1" s="1"/>
  <c r="N28" i="1"/>
  <c r="K28" i="1" s="1"/>
  <c r="N71" i="1"/>
  <c r="K71" i="1" s="1"/>
  <c r="N62" i="1"/>
  <c r="K62" i="1" s="1"/>
  <c r="N92" i="1"/>
  <c r="K92" i="1" s="1"/>
  <c r="N87" i="1"/>
  <c r="K87" i="1" s="1"/>
  <c r="N57" i="1"/>
  <c r="K57" i="1" s="1"/>
  <c r="N145" i="1"/>
  <c r="K145" i="1" s="1"/>
  <c r="N111" i="1"/>
  <c r="K111" i="1" s="1"/>
  <c r="N33" i="1"/>
  <c r="K33" i="1" s="1"/>
  <c r="N159" i="1"/>
  <c r="K159" i="1" s="1"/>
  <c r="N153" i="1"/>
  <c r="K153" i="1" s="1"/>
  <c r="N137" i="1"/>
  <c r="K137" i="1" s="1"/>
  <c r="N90" i="1"/>
  <c r="K90" i="1" s="1"/>
  <c r="N114" i="1"/>
  <c r="K114" i="1" s="1"/>
  <c r="N125" i="1"/>
  <c r="K125" i="1" s="1"/>
  <c r="N198" i="1"/>
  <c r="K198" i="1" s="1"/>
  <c r="N175" i="1"/>
  <c r="K175" i="1" s="1"/>
  <c r="N98" i="1"/>
  <c r="K98" i="1" s="1"/>
  <c r="N65" i="1"/>
  <c r="K65" i="1" s="1"/>
  <c r="N122" i="1"/>
  <c r="K122" i="1" s="1"/>
  <c r="N184" i="1"/>
  <c r="K184" i="1" s="1"/>
  <c r="N67" i="1"/>
  <c r="K67" i="1" s="1"/>
  <c r="N84" i="1"/>
  <c r="K84" i="1" s="1"/>
  <c r="N55" i="1"/>
  <c r="K55" i="1" s="1"/>
  <c r="N143" i="1"/>
  <c r="K143" i="1" s="1"/>
  <c r="N189" i="1"/>
  <c r="K189" i="1" s="1"/>
  <c r="N200" i="1"/>
  <c r="K200" i="1" s="1"/>
  <c r="N144" i="1"/>
  <c r="K144" i="1" s="1"/>
  <c r="N38" i="1"/>
  <c r="K38" i="1" s="1"/>
  <c r="N104" i="1"/>
  <c r="K104" i="1" s="1"/>
  <c r="N121" i="1"/>
  <c r="K121" i="1" s="1"/>
  <c r="N171" i="1"/>
  <c r="K171" i="1" s="1"/>
  <c r="N27" i="1"/>
  <c r="K27" i="1" s="1"/>
  <c r="N138" i="1"/>
  <c r="K138" i="1" s="1"/>
  <c r="N155" i="1"/>
  <c r="K155" i="1" s="1"/>
  <c r="N100" i="1"/>
  <c r="K100" i="1" s="1"/>
  <c r="N93" i="1"/>
  <c r="K93" i="1" s="1"/>
  <c r="N157" i="1"/>
  <c r="K157" i="1" s="1"/>
  <c r="N108" i="1"/>
  <c r="K108" i="1" s="1"/>
  <c r="N51" i="1"/>
  <c r="K51" i="1" s="1"/>
  <c r="N140" i="1"/>
  <c r="K140" i="1" s="1"/>
  <c r="N128" i="1"/>
  <c r="K128" i="1" s="1"/>
  <c r="N149" i="1"/>
  <c r="K149" i="1" s="1"/>
  <c r="N43" i="1"/>
  <c r="K43" i="1" s="1"/>
  <c r="N40" i="1"/>
  <c r="K40" i="1" s="1"/>
  <c r="N64" i="1"/>
  <c r="K64" i="1" s="1"/>
  <c r="N176" i="1"/>
  <c r="K176" i="1" s="1"/>
  <c r="N21" i="1"/>
  <c r="K21" i="1" s="1"/>
  <c r="N119" i="1"/>
  <c r="K119" i="1" s="1"/>
  <c r="N133" i="1"/>
  <c r="K133" i="1" s="1"/>
  <c r="N45" i="1"/>
  <c r="K45" i="1" s="1"/>
  <c r="N158" i="1"/>
  <c r="K158" i="1" s="1"/>
  <c r="N110" i="1"/>
  <c r="K110" i="1" s="1"/>
  <c r="N154" i="1"/>
  <c r="K154" i="1" s="1"/>
  <c r="N163" i="1"/>
  <c r="K163" i="1" s="1"/>
  <c r="N99" i="1"/>
  <c r="K99" i="1" s="1"/>
  <c r="N63" i="1"/>
  <c r="K63" i="1" s="1"/>
  <c r="N124" i="1"/>
  <c r="K124" i="1" s="1"/>
  <c r="N72" i="1"/>
  <c r="K72" i="1" s="1"/>
  <c r="N73" i="1"/>
  <c r="K73" i="1" s="1"/>
  <c r="N136" i="1"/>
  <c r="K136" i="1" s="1"/>
  <c r="N167" i="1"/>
  <c r="K167" i="1" s="1"/>
  <c r="N183" i="1"/>
  <c r="K183" i="1" s="1"/>
  <c r="N60" i="1"/>
  <c r="K60" i="1" s="1"/>
  <c r="N46" i="1"/>
  <c r="K46" i="1" s="1"/>
  <c r="N29" i="1"/>
  <c r="K29" i="1" s="1"/>
  <c r="N102" i="1"/>
  <c r="K102" i="1" s="1"/>
  <c r="N49" i="1"/>
  <c r="K49" i="1" s="1"/>
  <c r="N50" i="1"/>
  <c r="K50" i="1" s="1"/>
  <c r="K195" i="1" l="1"/>
  <c r="K76" i="1"/>
</calcChain>
</file>

<file path=xl/sharedStrings.xml><?xml version="1.0" encoding="utf-8"?>
<sst xmlns="http://schemas.openxmlformats.org/spreadsheetml/2006/main" count="693" uniqueCount="371">
  <si>
    <t>Last updated on:</t>
  </si>
  <si>
    <t>Upcoming Match Predictions</t>
  </si>
  <si>
    <t>RANK</t>
  </si>
  <si>
    <t>PARTICIPANT</t>
  </si>
  <si>
    <t>TOTAL POINTS</t>
  </si>
  <si>
    <t>Group Stage Points</t>
  </si>
  <si>
    <t>Bracket Stage Points</t>
  </si>
  <si>
    <t>View Pool Statistics</t>
  </si>
  <si>
    <t>Bonus Game</t>
  </si>
  <si>
    <t>Possible Points Left</t>
  </si>
  <si>
    <t>Bonus Question tallies</t>
  </si>
  <si>
    <t>Aban</t>
  </si>
  <si>
    <t>Alice</t>
  </si>
  <si>
    <t>Bert</t>
  </si>
  <si>
    <t>Caroline</t>
  </si>
  <si>
    <t>Chrissy</t>
  </si>
  <si>
    <t>Corey</t>
  </si>
  <si>
    <t>Daryl</t>
  </si>
  <si>
    <t>Eduardo</t>
  </si>
  <si>
    <t>EdwardL</t>
  </si>
  <si>
    <t>EdwardT</t>
  </si>
  <si>
    <t>Fernando</t>
  </si>
  <si>
    <t>FrankC</t>
  </si>
  <si>
    <t>Gustavo</t>
  </si>
  <si>
    <t>Heather</t>
  </si>
  <si>
    <t>Hernani</t>
  </si>
  <si>
    <t>James</t>
  </si>
  <si>
    <t>Jeannette</t>
  </si>
  <si>
    <t>JeffB</t>
  </si>
  <si>
    <t>KevinJ</t>
  </si>
  <si>
    <t>Kristian</t>
  </si>
  <si>
    <t>Manley</t>
  </si>
  <si>
    <t>Maria</t>
  </si>
  <si>
    <t>Marta</t>
  </si>
  <si>
    <t>Nicole</t>
  </si>
  <si>
    <t>RobT</t>
  </si>
  <si>
    <t>Roger</t>
  </si>
  <si>
    <t>Sean</t>
  </si>
  <si>
    <t>TonyS</t>
  </si>
  <si>
    <t>PaulC</t>
  </si>
  <si>
    <t>Teresa</t>
  </si>
  <si>
    <t>HelderA</t>
  </si>
  <si>
    <t>Janelle</t>
  </si>
  <si>
    <t>Kumar</t>
  </si>
  <si>
    <t>JeffS</t>
  </si>
  <si>
    <t>Tom</t>
  </si>
  <si>
    <t>Damian</t>
  </si>
  <si>
    <t>Edsel</t>
  </si>
  <si>
    <t>Fawzi</t>
  </si>
  <si>
    <t>Nuno</t>
  </si>
  <si>
    <t>Igor</t>
  </si>
  <si>
    <t>CarlosG</t>
  </si>
  <si>
    <t>Baffour</t>
  </si>
  <si>
    <t>Franco</t>
  </si>
  <si>
    <t>JohnR</t>
  </si>
  <si>
    <t>Riyad</t>
  </si>
  <si>
    <t>Marcio</t>
  </si>
  <si>
    <t>Kyle</t>
  </si>
  <si>
    <t>ChrisP</t>
  </si>
  <si>
    <t>DerekD</t>
  </si>
  <si>
    <t>Josh</t>
  </si>
  <si>
    <t>Major</t>
  </si>
  <si>
    <t>RobSi</t>
  </si>
  <si>
    <t>Trevor</t>
  </si>
  <si>
    <t>Alex</t>
  </si>
  <si>
    <t>Ash</t>
  </si>
  <si>
    <t>Darryll</t>
  </si>
  <si>
    <t>DavidD</t>
  </si>
  <si>
    <t>DougM</t>
  </si>
  <si>
    <t>Elizabeth</t>
  </si>
  <si>
    <t>Gary</t>
  </si>
  <si>
    <t>Magno</t>
  </si>
  <si>
    <t>Rachel</t>
  </si>
  <si>
    <t>TonyM</t>
  </si>
  <si>
    <t>Proceed to current STANDINGS page</t>
  </si>
  <si>
    <t>Rank</t>
  </si>
  <si>
    <t>Name</t>
  </si>
  <si>
    <t>Pts</t>
  </si>
  <si>
    <t>GS</t>
  </si>
  <si>
    <t>KS</t>
  </si>
  <si>
    <t>FRANCE</t>
  </si>
  <si>
    <t>Participant 1</t>
  </si>
  <si>
    <t>Participant 2</t>
  </si>
  <si>
    <t>Participant 3</t>
  </si>
  <si>
    <t>Participant 4</t>
  </si>
  <si>
    <t>Participant 5</t>
  </si>
  <si>
    <t>Participant 6</t>
  </si>
  <si>
    <t>Participant 7</t>
  </si>
  <si>
    <t>Participant 8</t>
  </si>
  <si>
    <t>Participant 9</t>
  </si>
  <si>
    <t>Participant 10</t>
  </si>
  <si>
    <t>Participant 11</t>
  </si>
  <si>
    <t>Participant 12</t>
  </si>
  <si>
    <t>Participant 13</t>
  </si>
  <si>
    <t>Participant 14</t>
  </si>
  <si>
    <t>Participant 15</t>
  </si>
  <si>
    <t>Participant 16</t>
  </si>
  <si>
    <t>Participant 17</t>
  </si>
  <si>
    <t>Participant 18</t>
  </si>
  <si>
    <t>Participant 19</t>
  </si>
  <si>
    <t>Participant 20</t>
  </si>
  <si>
    <t>Participant 21</t>
  </si>
  <si>
    <t>Participant 22</t>
  </si>
  <si>
    <t>Participant 23</t>
  </si>
  <si>
    <t>Participant 24</t>
  </si>
  <si>
    <t>Participant 25</t>
  </si>
  <si>
    <t>Participant 26</t>
  </si>
  <si>
    <t>Participant 27</t>
  </si>
  <si>
    <t>Participant 28</t>
  </si>
  <si>
    <t>Participant 29</t>
  </si>
  <si>
    <t>Participant 30</t>
  </si>
  <si>
    <t>Participant 31</t>
  </si>
  <si>
    <t>Participant 32</t>
  </si>
  <si>
    <t>Participant 33</t>
  </si>
  <si>
    <t>Participant 34</t>
  </si>
  <si>
    <t>Participant 35</t>
  </si>
  <si>
    <t>Participant 36</t>
  </si>
  <si>
    <t>Participant 37</t>
  </si>
  <si>
    <t>Participant 38</t>
  </si>
  <si>
    <t>Participant 39</t>
  </si>
  <si>
    <t>Participant 40</t>
  </si>
  <si>
    <t>Participant 41</t>
  </si>
  <si>
    <t>Participant 42</t>
  </si>
  <si>
    <t>Participant 43</t>
  </si>
  <si>
    <t>Participant 44</t>
  </si>
  <si>
    <t>Participant 45</t>
  </si>
  <si>
    <t>Participant 46</t>
  </si>
  <si>
    <t>Participant 47</t>
  </si>
  <si>
    <t>Participant 48</t>
  </si>
  <si>
    <t>Participant 49</t>
  </si>
  <si>
    <t>Participant 50</t>
  </si>
  <si>
    <t>Participant 51</t>
  </si>
  <si>
    <t>Participant 52</t>
  </si>
  <si>
    <t>Participant 53</t>
  </si>
  <si>
    <t>Participant 54</t>
  </si>
  <si>
    <t>Participant 55</t>
  </si>
  <si>
    <t>Participant 56</t>
  </si>
  <si>
    <t>Participant 57</t>
  </si>
  <si>
    <t>Participant 58</t>
  </si>
  <si>
    <t>Participant 59</t>
  </si>
  <si>
    <t>Participant 60</t>
  </si>
  <si>
    <t>Participant 61</t>
  </si>
  <si>
    <t>Participant 62</t>
  </si>
  <si>
    <t>Participant 63</t>
  </si>
  <si>
    <t>Participant 64</t>
  </si>
  <si>
    <t>Participant 65</t>
  </si>
  <si>
    <t>Participant 66</t>
  </si>
  <si>
    <t>Participant 67</t>
  </si>
  <si>
    <t>Participant 68</t>
  </si>
  <si>
    <t>Participant 69</t>
  </si>
  <si>
    <t>Participant 70</t>
  </si>
  <si>
    <t>Participant 71</t>
  </si>
  <si>
    <t>Participant 72</t>
  </si>
  <si>
    <t>Participant 73</t>
  </si>
  <si>
    <t>Participant 74</t>
  </si>
  <si>
    <t>Participant 75</t>
  </si>
  <si>
    <t>Participant 76</t>
  </si>
  <si>
    <t>Participant 77</t>
  </si>
  <si>
    <t>Participant 78</t>
  </si>
  <si>
    <t>Participant 79</t>
  </si>
  <si>
    <t>Participant 80</t>
  </si>
  <si>
    <t>Participant 81</t>
  </si>
  <si>
    <t>Participant 82</t>
  </si>
  <si>
    <t>Participant 83</t>
  </si>
  <si>
    <t>Participant 84</t>
  </si>
  <si>
    <t>Participant 85</t>
  </si>
  <si>
    <t>Participant 86</t>
  </si>
  <si>
    <t>Participant 87</t>
  </si>
  <si>
    <t>Participant 88</t>
  </si>
  <si>
    <t>Participant 89</t>
  </si>
  <si>
    <t>Participant 90</t>
  </si>
  <si>
    <t>Participant 91</t>
  </si>
  <si>
    <t>Participant 92</t>
  </si>
  <si>
    <t>Participant 93</t>
  </si>
  <si>
    <t>Participant 94</t>
  </si>
  <si>
    <t>Participant 95</t>
  </si>
  <si>
    <t>Participant 96</t>
  </si>
  <si>
    <t>Participant 97</t>
  </si>
  <si>
    <t>Participant 98</t>
  </si>
  <si>
    <t>Participant 99</t>
  </si>
  <si>
    <t>Participant 100</t>
  </si>
  <si>
    <t>Participant 101</t>
  </si>
  <si>
    <t>Participant 102</t>
  </si>
  <si>
    <t>Participant 103</t>
  </si>
  <si>
    <t>Participant 104</t>
  </si>
  <si>
    <t>Participant 105</t>
  </si>
  <si>
    <t>Participant 106</t>
  </si>
  <si>
    <t>Participant 107</t>
  </si>
  <si>
    <t>Participant 108</t>
  </si>
  <si>
    <t>Participant 109</t>
  </si>
  <si>
    <t>Participant 110</t>
  </si>
  <si>
    <t>Participant 111</t>
  </si>
  <si>
    <t>Participant 112</t>
  </si>
  <si>
    <t>Participant 113</t>
  </si>
  <si>
    <t>Participant 114</t>
  </si>
  <si>
    <t>Participant 115</t>
  </si>
  <si>
    <t>Participant 116</t>
  </si>
  <si>
    <t>Participant 117</t>
  </si>
  <si>
    <t>Participant 118</t>
  </si>
  <si>
    <t>Participant 119</t>
  </si>
  <si>
    <t>Participant 120</t>
  </si>
  <si>
    <t>Participant 121</t>
  </si>
  <si>
    <t>Participant 122</t>
  </si>
  <si>
    <t>Participant 123</t>
  </si>
  <si>
    <t>Participant 124</t>
  </si>
  <si>
    <t>Participant 125</t>
  </si>
  <si>
    <t>Participant 126</t>
  </si>
  <si>
    <t>Participant 127</t>
  </si>
  <si>
    <t>Participant 128</t>
  </si>
  <si>
    <t>Participant 129</t>
  </si>
  <si>
    <t>Participant 130</t>
  </si>
  <si>
    <t>Participant 131</t>
  </si>
  <si>
    <t>Participant 132</t>
  </si>
  <si>
    <t>Participant 133</t>
  </si>
  <si>
    <t>Participant 134</t>
  </si>
  <si>
    <t>Participant 135</t>
  </si>
  <si>
    <t>Participant 136</t>
  </si>
  <si>
    <t>Participant 137</t>
  </si>
  <si>
    <t>Participant 138</t>
  </si>
  <si>
    <t>Participant 139</t>
  </si>
  <si>
    <t>Participant 140</t>
  </si>
  <si>
    <t>Participant 141</t>
  </si>
  <si>
    <t>Participant 142</t>
  </si>
  <si>
    <t>Participant 143</t>
  </si>
  <si>
    <t>Participant 144</t>
  </si>
  <si>
    <t>Participant 145</t>
  </si>
  <si>
    <t>Participant 146</t>
  </si>
  <si>
    <t>Participant 147</t>
  </si>
  <si>
    <t>Participant 148</t>
  </si>
  <si>
    <t>Participant 149</t>
  </si>
  <si>
    <t>Participant 150</t>
  </si>
  <si>
    <t>Participant 151</t>
  </si>
  <si>
    <t>Participant 152</t>
  </si>
  <si>
    <t>Participant 153</t>
  </si>
  <si>
    <t>Participant 154</t>
  </si>
  <si>
    <t>Participant 155</t>
  </si>
  <si>
    <t>Participant 156</t>
  </si>
  <si>
    <t>Participant 157</t>
  </si>
  <si>
    <t>Participant 158</t>
  </si>
  <si>
    <t>Participant 159</t>
  </si>
  <si>
    <t>Participant 160</t>
  </si>
  <si>
    <t>Euro 2020</t>
  </si>
  <si>
    <t>PREVIOUS POOL STANDINGS</t>
  </si>
  <si>
    <t>World Cup 2018</t>
  </si>
  <si>
    <t>World Cup 2014</t>
  </si>
  <si>
    <t>Euro 2012</t>
  </si>
  <si>
    <t>World Cup 2010</t>
  </si>
  <si>
    <t>STANDINGS</t>
  </si>
  <si>
    <t>Ana</t>
  </si>
  <si>
    <t>Angelo</t>
  </si>
  <si>
    <t>Antonio</t>
  </si>
  <si>
    <t>Arturo</t>
  </si>
  <si>
    <t>Augie</t>
  </si>
  <si>
    <t>Balbir</t>
  </si>
  <si>
    <t>Brendan</t>
  </si>
  <si>
    <t>Carmen</t>
  </si>
  <si>
    <t>ChrisF</t>
  </si>
  <si>
    <t>ChrisK</t>
  </si>
  <si>
    <t>Daisy</t>
  </si>
  <si>
    <t>DanielM</t>
  </si>
  <si>
    <t>DannyRa</t>
  </si>
  <si>
    <t>Dashiel</t>
  </si>
  <si>
    <t>DavidM</t>
  </si>
  <si>
    <t>Dragon</t>
  </si>
  <si>
    <t>EricK</t>
  </si>
  <si>
    <t>Forbes</t>
  </si>
  <si>
    <t>FrankI</t>
  </si>
  <si>
    <t>Gabriela</t>
  </si>
  <si>
    <t>Grosso</t>
  </si>
  <si>
    <t>Helio</t>
  </si>
  <si>
    <t>Hugo</t>
  </si>
  <si>
    <t>Ian</t>
  </si>
  <si>
    <t>Jennifer</t>
  </si>
  <si>
    <t>Joao</t>
  </si>
  <si>
    <t>JohnC</t>
  </si>
  <si>
    <t>JorgeC</t>
  </si>
  <si>
    <t>JorgeT</t>
  </si>
  <si>
    <t>JustinL</t>
  </si>
  <si>
    <t>Lindsey</t>
  </si>
  <si>
    <t>Luka</t>
  </si>
  <si>
    <t>Manny</t>
  </si>
  <si>
    <t>MichaelP</t>
  </si>
  <si>
    <t>MikeD</t>
  </si>
  <si>
    <t>Mitchell</t>
  </si>
  <si>
    <t>Nancy</t>
  </si>
  <si>
    <t>Nas</t>
  </si>
  <si>
    <t>NelsonP</t>
  </si>
  <si>
    <t>PabloL</t>
  </si>
  <si>
    <t>Pardeep</t>
  </si>
  <si>
    <t>Pedro</t>
  </si>
  <si>
    <t>PeterB</t>
  </si>
  <si>
    <t>PeterM</t>
  </si>
  <si>
    <t>Razi</t>
  </si>
  <si>
    <t>Rita</t>
  </si>
  <si>
    <t>RobertP</t>
  </si>
  <si>
    <t>RobertS</t>
  </si>
  <si>
    <t>RobW</t>
  </si>
  <si>
    <t>Santiago</t>
  </si>
  <si>
    <t>Tanya</t>
  </si>
  <si>
    <t>TonyH</t>
  </si>
  <si>
    <t>Tristan</t>
  </si>
  <si>
    <t>Vicki</t>
  </si>
  <si>
    <t>Michele</t>
  </si>
  <si>
    <t>JustinD</t>
  </si>
  <si>
    <t>Victer</t>
  </si>
  <si>
    <t>Jimmy</t>
  </si>
  <si>
    <t>KevinS</t>
  </si>
  <si>
    <t>Angel</t>
  </si>
  <si>
    <t>FrankD1</t>
  </si>
  <si>
    <t>FrankD2</t>
  </si>
  <si>
    <t>LiamM</t>
  </si>
  <si>
    <t>Stan</t>
  </si>
  <si>
    <t>RD22</t>
  </si>
  <si>
    <t>Preto1</t>
  </si>
  <si>
    <t>Preto2</t>
  </si>
  <si>
    <t>Wilson</t>
  </si>
  <si>
    <t>Scotty</t>
  </si>
  <si>
    <t>Soni</t>
  </si>
  <si>
    <t>Sher</t>
  </si>
  <si>
    <t>Alnashir</t>
  </si>
  <si>
    <t>Rick</t>
  </si>
  <si>
    <t>CMD88</t>
  </si>
  <si>
    <t>Ishaque</t>
  </si>
  <si>
    <t>LiamF</t>
  </si>
  <si>
    <t>Rousse</t>
  </si>
  <si>
    <t>Fabiola</t>
  </si>
  <si>
    <t>Ken</t>
  </si>
  <si>
    <t>Michiel</t>
  </si>
  <si>
    <t>Cameron</t>
  </si>
  <si>
    <t>Gavin</t>
  </si>
  <si>
    <t>Mugwe</t>
  </si>
  <si>
    <t>Shawn1</t>
  </si>
  <si>
    <t>RichardMa1</t>
  </si>
  <si>
    <t>Aaron1</t>
  </si>
  <si>
    <t>Aaron2</t>
  </si>
  <si>
    <t>Simon</t>
  </si>
  <si>
    <t>Yuri</t>
  </si>
  <si>
    <t>Joanna</t>
  </si>
  <si>
    <t>Julian</t>
  </si>
  <si>
    <t>StevenT</t>
  </si>
  <si>
    <t>RichardMa2</t>
  </si>
  <si>
    <t>Sameer</t>
  </si>
  <si>
    <t>Shawn2</t>
  </si>
  <si>
    <t>Tanmay</t>
  </si>
  <si>
    <t>Avix</t>
  </si>
  <si>
    <t>DannyL1</t>
  </si>
  <si>
    <t>DannyL2</t>
  </si>
  <si>
    <t>DannyL3</t>
  </si>
  <si>
    <t>DinoD</t>
  </si>
  <si>
    <t>DougK</t>
  </si>
  <si>
    <t>Isaac</t>
  </si>
  <si>
    <t>Jake</t>
  </si>
  <si>
    <t>KevinC</t>
  </si>
  <si>
    <t>MatthewM</t>
  </si>
  <si>
    <t>MatthewS1</t>
  </si>
  <si>
    <t>MatthewS2</t>
  </si>
  <si>
    <t>MatthewS3</t>
  </si>
  <si>
    <t>MichaelL</t>
  </si>
  <si>
    <t>MichaelM</t>
  </si>
  <si>
    <t>RobV</t>
  </si>
  <si>
    <t>Ricardo</t>
  </si>
  <si>
    <t>Stallone1</t>
  </si>
  <si>
    <t>Stallone2</t>
  </si>
  <si>
    <t>Stirling</t>
  </si>
  <si>
    <t>Veejay</t>
  </si>
  <si>
    <t>DinoG</t>
  </si>
  <si>
    <t>Pool Statistics</t>
  </si>
  <si>
    <t>Bonus Questions tally</t>
  </si>
  <si>
    <t>ARGENTINA</t>
  </si>
  <si>
    <t>SPOILER ALERT</t>
  </si>
  <si>
    <t>Click flags to see what the STANDINGS look like if that team wins the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</si>
</sst>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d\,\ yyyy"/>
    <numFmt numFmtId="165" formatCode="m/d/yy\ h:mm\ AM/PM"/>
    <numFmt numFmtId="166" formatCode=";;"/>
    <numFmt numFmtId="167" formatCode="mmm\ d\,\ yyyy"/>
  </numFmts>
  <fonts count="71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i/>
      <sz val="8"/>
      <name val="Verdana"/>
      <family val="2"/>
    </font>
    <font>
      <b/>
      <i/>
      <sz val="8"/>
      <name val="Verdana"/>
      <family val="2"/>
    </font>
    <font>
      <i/>
      <sz val="8"/>
      <name val="Arial"/>
      <family val="2"/>
    </font>
    <font>
      <b/>
      <sz val="9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969696"/>
      <name val="Verdana"/>
      <family val="2"/>
    </font>
    <font>
      <b/>
      <sz val="10"/>
      <color rgb="FF0000FF"/>
      <name val="Comic Sans MS"/>
      <family val="4"/>
    </font>
    <font>
      <sz val="8"/>
      <color rgb="FF808080"/>
      <name val="Verdana"/>
      <family val="2"/>
    </font>
    <font>
      <sz val="7"/>
      <color rgb="FF969696"/>
      <name val="Verdana"/>
      <family val="2"/>
    </font>
    <font>
      <sz val="8"/>
      <color rgb="FF969696"/>
      <name val="Verdana"/>
      <family val="2"/>
    </font>
    <font>
      <sz val="10"/>
      <color theme="0"/>
      <name val="Verdana"/>
      <family val="2"/>
    </font>
    <font>
      <b/>
      <sz val="28"/>
      <color rgb="FF800000"/>
      <name val="Verdana"/>
      <family val="2"/>
    </font>
    <font>
      <b/>
      <sz val="10"/>
      <color rgb="FF000000"/>
      <name val="Verdana"/>
      <family val="2"/>
    </font>
    <font>
      <sz val="10"/>
      <color rgb="FF969696"/>
      <name val="Arial"/>
      <family val="2"/>
    </font>
    <font>
      <sz val="10"/>
      <color rgb="FFFF0000"/>
      <name val="Arial"/>
      <family val="2"/>
    </font>
    <font>
      <b/>
      <sz val="10"/>
      <color rgb="FF0000FF"/>
      <name val="Verdana"/>
      <family val="2"/>
    </font>
    <font>
      <sz val="12"/>
      <color rgb="FF969696"/>
      <name val="Verdana"/>
      <family val="2"/>
    </font>
    <font>
      <b/>
      <sz val="14"/>
      <name val="Verdana"/>
      <family val="2"/>
    </font>
    <font>
      <sz val="16"/>
      <name val="Verdana"/>
      <family val="2"/>
    </font>
    <font>
      <sz val="16"/>
      <color rgb="FF969696"/>
      <name val="Arial"/>
      <family val="2"/>
    </font>
    <font>
      <sz val="16"/>
      <color rgb="FF969696"/>
      <name val="Verdana"/>
      <family val="2"/>
    </font>
    <font>
      <sz val="16"/>
      <color theme="0"/>
      <name val="Verdana"/>
      <family val="2"/>
    </font>
    <font>
      <sz val="18"/>
      <name val="Arial"/>
      <family val="2"/>
    </font>
    <font>
      <b/>
      <sz val="48"/>
      <color rgb="FF800000"/>
      <name val="Verdana"/>
      <family val="2"/>
    </font>
    <font>
      <b/>
      <sz val="60"/>
      <color rgb="FF800000"/>
      <name val="Verdana"/>
      <family val="2"/>
    </font>
    <font>
      <b/>
      <i/>
      <sz val="10"/>
      <name val="Verdana"/>
      <family val="2"/>
    </font>
    <font>
      <i/>
      <sz val="11"/>
      <name val="Verdana"/>
      <family val="2"/>
    </font>
    <font>
      <i/>
      <sz val="11"/>
      <name val="Arial"/>
      <family val="2"/>
    </font>
    <font>
      <sz val="11"/>
      <color rgb="FF808080"/>
      <name val="Verdana"/>
      <family val="2"/>
    </font>
    <font>
      <u/>
      <sz val="11"/>
      <color rgb="FF0000FF"/>
      <name val="Arial"/>
      <family val="2"/>
    </font>
    <font>
      <b/>
      <sz val="12"/>
      <name val="Verdana"/>
      <family val="2"/>
    </font>
    <font>
      <u/>
      <sz val="16"/>
      <color rgb="FF0000FF"/>
      <name val="Arial"/>
      <family val="2"/>
    </font>
    <font>
      <b/>
      <sz val="16"/>
      <color theme="1"/>
      <name val="Verdana"/>
      <family val="2"/>
    </font>
    <font>
      <b/>
      <sz val="16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rgb="FF00B0F0"/>
      <name val="Arial"/>
      <family val="2"/>
    </font>
    <font>
      <u/>
      <sz val="26"/>
      <color rgb="FF0000FF"/>
      <name val="Arial"/>
      <family val="2"/>
    </font>
    <font>
      <sz val="48"/>
      <color rgb="FFFF0000"/>
      <name val="Arial"/>
      <family val="2"/>
    </font>
    <font>
      <sz val="13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/>
      <top/>
      <bottom style="thin">
        <color rgb="FF969696"/>
      </bottom>
      <diagonal/>
    </border>
    <border>
      <left style="thick">
        <color rgb="FF800000"/>
      </left>
      <right style="medium">
        <color rgb="FFC0C0C0"/>
      </right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thick">
        <color rgb="FF800000"/>
      </left>
      <right style="medium">
        <color rgb="FFC0C0C0"/>
      </right>
      <top style="medium">
        <color rgb="FFC0C0C0"/>
      </top>
      <bottom style="thick">
        <color rgb="FF800000"/>
      </bottom>
      <diagonal/>
    </border>
    <border>
      <left/>
      <right style="medium">
        <color rgb="FFC0C0C0"/>
      </right>
      <top style="medium">
        <color rgb="FFC0C0C0"/>
      </top>
      <bottom style="thick">
        <color rgb="FF800000"/>
      </bottom>
      <diagonal/>
    </border>
    <border>
      <left style="thick">
        <color rgb="FF800000"/>
      </left>
      <right style="thin">
        <color rgb="FF800000"/>
      </right>
      <top/>
      <bottom style="medium">
        <color rgb="FFC0C0C0"/>
      </bottom>
      <diagonal/>
    </border>
    <border>
      <left style="thick">
        <color rgb="FF800000"/>
      </left>
      <right style="thin">
        <color rgb="FF800000"/>
      </right>
      <top style="medium">
        <color rgb="FFC0C0C0"/>
      </top>
      <bottom style="thin">
        <color rgb="FF800000"/>
      </bottom>
      <diagonal/>
    </border>
    <border>
      <left style="thick">
        <color rgb="FF800000"/>
      </left>
      <right style="medium">
        <color rgb="FFC0C0C0"/>
      </right>
      <top style="thick">
        <color rgb="FF800000"/>
      </top>
      <bottom style="medium">
        <color rgb="FFC0C0C0"/>
      </bottom>
      <diagonal/>
    </border>
    <border>
      <left/>
      <right style="medium">
        <color rgb="FFC0C0C0"/>
      </right>
      <top style="thick">
        <color rgb="FF800000"/>
      </top>
      <bottom style="medium">
        <color rgb="FFC0C0C0"/>
      </bottom>
      <diagonal/>
    </border>
    <border>
      <left/>
      <right style="thick">
        <color rgb="FF800000"/>
      </right>
      <top/>
      <bottom style="medium">
        <color rgb="FFC0C0C0"/>
      </bottom>
      <diagonal/>
    </border>
    <border>
      <left style="thin">
        <color rgb="FF800000"/>
      </left>
      <right style="thin">
        <color rgb="FF800000"/>
      </right>
      <top style="medium">
        <color rgb="FFC0C0C0"/>
      </top>
      <bottom style="thin">
        <color rgb="FF800000"/>
      </bottom>
      <diagonal/>
    </border>
    <border>
      <left/>
      <right style="thick">
        <color rgb="FF800000"/>
      </right>
      <top style="medium">
        <color rgb="FFC0C0C0"/>
      </top>
      <bottom style="thick">
        <color rgb="FF800000"/>
      </bottom>
      <diagonal/>
    </border>
    <border>
      <left style="thick">
        <color rgb="FF800000"/>
      </left>
      <right style="medium">
        <color rgb="FFC0C0C0"/>
      </right>
      <top/>
      <bottom style="thick">
        <color rgb="FF800000"/>
      </bottom>
      <diagonal/>
    </border>
    <border>
      <left/>
      <right style="medium">
        <color rgb="FFC0C0C0"/>
      </right>
      <top/>
      <bottom style="thick">
        <color rgb="FF800000"/>
      </bottom>
      <diagonal/>
    </border>
    <border>
      <left/>
      <right style="thick">
        <color rgb="FF800000"/>
      </right>
      <top/>
      <bottom style="thick">
        <color rgb="FF800000"/>
      </bottom>
      <diagonal/>
    </border>
    <border>
      <left style="medium">
        <color rgb="FFC0C0C0"/>
      </left>
      <right style="medium">
        <color rgb="FFC0C0C0"/>
      </right>
      <top style="thick">
        <color rgb="FF80000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medium">
        <color rgb="FFC0C0C0"/>
      </right>
      <top/>
      <bottom style="thick">
        <color rgb="FF800000"/>
      </bottom>
      <diagonal/>
    </border>
    <border>
      <left style="medium">
        <color rgb="FFC0C0C0"/>
      </left>
      <right style="thick">
        <color rgb="FF800000"/>
      </right>
      <top style="thick">
        <color rgb="FF800000"/>
      </top>
      <bottom/>
      <diagonal/>
    </border>
    <border>
      <left style="medium">
        <color rgb="FFC0C0C0"/>
      </left>
      <right style="thick">
        <color rgb="FF800000"/>
      </right>
      <top/>
      <bottom/>
      <diagonal/>
    </border>
    <border>
      <left style="medium">
        <color rgb="FFC0C0C0"/>
      </left>
      <right style="thick">
        <color rgb="FF800000"/>
      </right>
      <top/>
      <bottom style="thick">
        <color rgb="FF800000"/>
      </bottom>
      <diagonal/>
    </border>
    <border>
      <left style="thick">
        <color rgb="FF800000"/>
      </left>
      <right style="thin">
        <color rgb="FF800000"/>
      </right>
      <top style="thin">
        <color rgb="FF800000"/>
      </top>
      <bottom/>
      <diagonal/>
    </border>
    <border>
      <left style="thick">
        <color rgb="FF800000"/>
      </left>
      <right style="thin">
        <color rgb="FF800000"/>
      </right>
      <top/>
      <bottom/>
      <diagonal/>
    </border>
    <border>
      <left style="thick">
        <color rgb="FF800000"/>
      </left>
      <right style="thin">
        <color rgb="FF800000"/>
      </right>
      <top/>
      <bottom style="thick">
        <color rgb="FF800000"/>
      </bottom>
      <diagonal/>
    </border>
    <border>
      <left style="thick">
        <color rgb="FF800000"/>
      </left>
      <right style="medium">
        <color rgb="FFC0C0C0"/>
      </right>
      <top style="thick">
        <color rgb="FF800000"/>
      </top>
      <bottom/>
      <diagonal/>
    </border>
    <border>
      <left style="thick">
        <color rgb="FF800000"/>
      </left>
      <right style="medium">
        <color rgb="FFC0C0C0"/>
      </right>
      <top/>
      <bottom/>
      <diagonal/>
    </border>
    <border>
      <left/>
      <right style="thin">
        <color rgb="FF800000"/>
      </right>
      <top style="thin">
        <color rgb="FF800000"/>
      </top>
      <bottom/>
      <diagonal/>
    </border>
    <border>
      <left/>
      <right style="thin">
        <color rgb="FF800000"/>
      </right>
      <top/>
      <bottom/>
      <diagonal/>
    </border>
    <border>
      <left/>
      <right style="thin">
        <color rgb="FF800000"/>
      </right>
      <top/>
      <bottom style="thick">
        <color rgb="FF800000"/>
      </bottom>
      <diagonal/>
    </border>
    <border>
      <left style="thin">
        <color rgb="FF800000"/>
      </left>
      <right style="thin">
        <color rgb="FF800000"/>
      </right>
      <top style="medium">
        <color theme="0" tint="-0.24994659260841701"/>
      </top>
      <bottom style="medium">
        <color rgb="FFC0C0C0"/>
      </bottom>
      <diagonal/>
    </border>
    <border>
      <left style="thin">
        <color rgb="FF800000"/>
      </left>
      <right style="thin">
        <color rgb="FF800000"/>
      </right>
      <top style="medium">
        <color rgb="FFC0C0C0"/>
      </top>
      <bottom/>
      <diagonal/>
    </border>
    <border>
      <left style="thin">
        <color rgb="FF800000"/>
      </left>
      <right style="thin">
        <color rgb="FF800000"/>
      </right>
      <top style="medium">
        <color theme="0" tint="-0.24994659260841701"/>
      </top>
      <bottom style="medium">
        <color theme="0" tint="-0.24994659260841701"/>
      </bottom>
      <diagonal/>
    </border>
  </borders>
  <cellStyleXfs count="45">
    <xf numFmtId="0" fontId="0" fillId="0" borderId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20" fillId="26" borderId="0" applyNumberFormat="0" applyBorder="0" applyAlignment="0" applyProtection="0"/>
    <xf numFmtId="0" fontId="21" fillId="27" borderId="2" applyNumberFormat="0" applyAlignment="0" applyProtection="0"/>
    <xf numFmtId="0" fontId="22" fillId="28" borderId="3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29" borderId="0" applyNumberFormat="0" applyBorder="0" applyAlignment="0" applyProtection="0"/>
    <xf numFmtId="0" fontId="26" fillId="0" borderId="4" applyNumberFormat="0" applyFill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30" borderId="2" applyNumberFormat="0" applyAlignment="0" applyProtection="0"/>
    <xf numFmtId="0" fontId="31" fillId="0" borderId="7" applyNumberFormat="0" applyFill="0" applyAlignment="0" applyProtection="0"/>
    <xf numFmtId="0" fontId="32" fillId="31" borderId="0" applyNumberFormat="0" applyBorder="0" applyAlignment="0" applyProtection="0"/>
    <xf numFmtId="0" fontId="1" fillId="0" borderId="0"/>
    <xf numFmtId="0" fontId="18" fillId="32" borderId="8" applyNumberFormat="0" applyFont="0" applyAlignment="0" applyProtection="0"/>
    <xf numFmtId="0" fontId="33" fillId="27" borderId="9" applyNumberFormat="0" applyAlignment="0" applyProtection="0"/>
    <xf numFmtId="0" fontId="34" fillId="0" borderId="0" applyNumberFormat="0" applyFill="0" applyBorder="0" applyAlignment="0" applyProtection="0"/>
    <xf numFmtId="0" fontId="35" fillId="0" borderId="10" applyNumberFormat="0" applyFill="0" applyAlignment="0" applyProtection="0"/>
    <xf numFmtId="0" fontId="36" fillId="0" borderId="0" applyNumberFormat="0" applyFill="0" applyBorder="0" applyAlignment="0" applyProtection="0"/>
  </cellStyleXfs>
  <cellXfs count="191">
    <xf numFmtId="0" fontId="1" fillId="0" borderId="0" xfId="0" applyFont="1"/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7" fillId="0" borderId="0" xfId="0" applyFont="1"/>
    <xf numFmtId="0" fontId="29" fillId="0" borderId="0" xfId="0" applyFont="1"/>
    <xf numFmtId="0" fontId="38" fillId="0" borderId="0" xfId="0" applyFont="1" applyAlignment="1">
      <alignment vertical="center"/>
    </xf>
    <xf numFmtId="164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3" fillId="0" borderId="0" xfId="0" applyNumberFormat="1" applyFont="1"/>
    <xf numFmtId="0" fontId="39" fillId="0" borderId="0" xfId="0" applyFont="1" applyAlignment="1">
      <alignment vertical="center" wrapText="1"/>
    </xf>
    <xf numFmtId="165" fontId="2" fillId="0" borderId="0" xfId="0" applyNumberFormat="1" applyFont="1"/>
    <xf numFmtId="164" fontId="3" fillId="0" borderId="0" xfId="0" applyNumberFormat="1" applyFont="1" applyAlignment="1">
      <alignment vertical="top"/>
    </xf>
    <xf numFmtId="18" fontId="5" fillId="0" borderId="0" xfId="0" applyNumberFormat="1" applyFont="1" applyAlignment="1">
      <alignment horizontal="right" vertical="top"/>
    </xf>
    <xf numFmtId="0" fontId="40" fillId="0" borderId="0" xfId="0" applyFont="1" applyAlignment="1">
      <alignment horizontal="center" vertical="center" wrapText="1"/>
    </xf>
    <xf numFmtId="0" fontId="7" fillId="0" borderId="0" xfId="0" applyFont="1"/>
    <xf numFmtId="0" fontId="2" fillId="0" borderId="0" xfId="0" applyFont="1" applyAlignment="1">
      <alignment vertical="top" wrapText="1"/>
    </xf>
    <xf numFmtId="1" fontId="41" fillId="0" borderId="11" xfId="0" applyNumberFormat="1" applyFont="1" applyBorder="1" applyAlignment="1">
      <alignment horizontal="center" vertical="center"/>
    </xf>
    <xf numFmtId="1" fontId="41" fillId="0" borderId="12" xfId="0" applyNumberFormat="1" applyFont="1" applyBorder="1" applyAlignment="1">
      <alignment horizontal="center" vertical="center"/>
    </xf>
    <xf numFmtId="0" fontId="42" fillId="0" borderId="0" xfId="0" applyFont="1" applyProtection="1">
      <protection hidden="1"/>
    </xf>
    <xf numFmtId="166" fontId="42" fillId="0" borderId="0" xfId="0" applyNumberFormat="1" applyFont="1" applyProtection="1">
      <protection hidden="1"/>
    </xf>
    <xf numFmtId="0" fontId="1" fillId="0" borderId="0" xfId="0" applyFont="1" applyAlignment="1">
      <alignment horizontal="center" textRotation="90" shrinkToFit="1"/>
    </xf>
    <xf numFmtId="0" fontId="43" fillId="0" borderId="0" xfId="0" applyFont="1" applyAlignment="1">
      <alignment vertical="center" wrapText="1"/>
    </xf>
    <xf numFmtId="0" fontId="1" fillId="0" borderId="0" xfId="0" applyFont="1" applyAlignment="1">
      <alignment textRotation="90" shrinkToFit="1"/>
    </xf>
    <xf numFmtId="0" fontId="41" fillId="0" borderId="0" xfId="0" applyFont="1" applyAlignment="1">
      <alignment horizontal="center" vertical="center"/>
    </xf>
    <xf numFmtId="0" fontId="29" fillId="0" borderId="0" xfId="35" applyBorder="1" applyAlignment="1"/>
    <xf numFmtId="1" fontId="7" fillId="33" borderId="13" xfId="0" applyNumberFormat="1" applyFont="1" applyFill="1" applyBorder="1" applyAlignment="1">
      <alignment horizontal="center" vertical="center"/>
    </xf>
    <xf numFmtId="0" fontId="9" fillId="33" borderId="14" xfId="0" applyFont="1" applyFill="1" applyBorder="1" applyAlignment="1">
      <alignment horizontal="left" vertical="center" shrinkToFit="1"/>
    </xf>
    <xf numFmtId="1" fontId="44" fillId="33" borderId="14" xfId="0" applyNumberFormat="1" applyFont="1" applyFill="1" applyBorder="1" applyAlignment="1">
      <alignment horizontal="center" vertical="center"/>
    </xf>
    <xf numFmtId="1" fontId="7" fillId="33" borderId="15" xfId="0" applyNumberFormat="1" applyFont="1" applyFill="1" applyBorder="1" applyAlignment="1">
      <alignment horizontal="center" vertical="center"/>
    </xf>
    <xf numFmtId="0" fontId="9" fillId="33" borderId="16" xfId="0" applyFont="1" applyFill="1" applyBorder="1" applyAlignment="1">
      <alignment horizontal="left" vertical="center" shrinkToFit="1"/>
    </xf>
    <xf numFmtId="1" fontId="44" fillId="33" borderId="16" xfId="0" applyNumberFormat="1" applyFont="1" applyFill="1" applyBorder="1" applyAlignment="1">
      <alignment horizontal="center" vertical="center"/>
    </xf>
    <xf numFmtId="1" fontId="37" fillId="33" borderId="17" xfId="0" applyNumberFormat="1" applyFont="1" applyFill="1" applyBorder="1" applyAlignment="1">
      <alignment horizontal="center" vertical="center"/>
    </xf>
    <xf numFmtId="1" fontId="37" fillId="33" borderId="18" xfId="0" applyNumberFormat="1" applyFont="1" applyFill="1" applyBorder="1" applyAlignment="1">
      <alignment horizontal="center" vertical="center"/>
    </xf>
    <xf numFmtId="1" fontId="7" fillId="34" borderId="19" xfId="0" applyNumberFormat="1" applyFont="1" applyFill="1" applyBorder="1" applyAlignment="1">
      <alignment horizontal="center" vertical="center"/>
    </xf>
    <xf numFmtId="0" fontId="9" fillId="34" borderId="20" xfId="0" applyFont="1" applyFill="1" applyBorder="1" applyAlignment="1">
      <alignment horizontal="left" vertical="center" shrinkToFit="1"/>
    </xf>
    <xf numFmtId="1" fontId="44" fillId="34" borderId="14" xfId="0" applyNumberFormat="1" applyFont="1" applyFill="1" applyBorder="1" applyAlignment="1">
      <alignment horizontal="center" vertical="center"/>
    </xf>
    <xf numFmtId="1" fontId="37" fillId="34" borderId="17" xfId="0" applyNumberFormat="1" applyFont="1" applyFill="1" applyBorder="1" applyAlignment="1">
      <alignment horizontal="center" vertical="center"/>
    </xf>
    <xf numFmtId="1" fontId="7" fillId="34" borderId="13" xfId="0" applyNumberFormat="1" applyFont="1" applyFill="1" applyBorder="1" applyAlignment="1">
      <alignment horizontal="center" vertical="center"/>
    </xf>
    <xf numFmtId="0" fontId="9" fillId="34" borderId="14" xfId="0" applyFont="1" applyFill="1" applyBorder="1" applyAlignment="1">
      <alignment horizontal="left" vertical="center" shrinkToFit="1"/>
    </xf>
    <xf numFmtId="1" fontId="45" fillId="34" borderId="14" xfId="35" applyNumberFormat="1" applyFont="1" applyFill="1" applyBorder="1" applyAlignment="1">
      <alignment horizontal="center" vertical="center"/>
    </xf>
    <xf numFmtId="1" fontId="45" fillId="34" borderId="21" xfId="35" applyNumberFormat="1" applyFont="1" applyFill="1" applyBorder="1" applyAlignment="1">
      <alignment horizontal="center" vertical="center"/>
    </xf>
    <xf numFmtId="1" fontId="45" fillId="34" borderId="22" xfId="35" applyNumberFormat="1" applyFont="1" applyFill="1" applyBorder="1" applyAlignment="1">
      <alignment horizontal="center" vertical="center"/>
    </xf>
    <xf numFmtId="1" fontId="45" fillId="33" borderId="14" xfId="35" applyNumberFormat="1" applyFont="1" applyFill="1" applyBorder="1" applyAlignment="1">
      <alignment horizontal="center" vertical="center"/>
    </xf>
    <xf numFmtId="1" fontId="45" fillId="33" borderId="21" xfId="35" applyNumberFormat="1" applyFont="1" applyFill="1" applyBorder="1" applyAlignment="1">
      <alignment horizontal="center" vertical="center"/>
    </xf>
    <xf numFmtId="1" fontId="45" fillId="33" borderId="22" xfId="35" applyNumberFormat="1" applyFont="1" applyFill="1" applyBorder="1" applyAlignment="1">
      <alignment horizontal="center" vertical="center"/>
    </xf>
    <xf numFmtId="1" fontId="45" fillId="33" borderId="16" xfId="35" applyNumberFormat="1" applyFont="1" applyFill="1" applyBorder="1" applyAlignment="1">
      <alignment horizontal="center" vertical="center"/>
    </xf>
    <xf numFmtId="1" fontId="45" fillId="33" borderId="23" xfId="35" applyNumberFormat="1" applyFont="1" applyFill="1" applyBorder="1" applyAlignment="1">
      <alignment horizontal="center" vertical="center"/>
    </xf>
    <xf numFmtId="0" fontId="11" fillId="34" borderId="20" xfId="35" applyFont="1" applyFill="1" applyBorder="1" applyAlignment="1">
      <alignment horizontal="left" vertical="center" shrinkToFit="1"/>
    </xf>
    <xf numFmtId="0" fontId="11" fillId="34" borderId="14" xfId="35" applyFont="1" applyFill="1" applyBorder="1" applyAlignment="1">
      <alignment horizontal="left" vertical="center" shrinkToFit="1"/>
    </xf>
    <xf numFmtId="0" fontId="11" fillId="33" borderId="14" xfId="35" applyFont="1" applyFill="1" applyBorder="1" applyAlignment="1">
      <alignment horizontal="left" vertical="center" shrinkToFit="1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2" fillId="0" borderId="0" xfId="0" applyFont="1"/>
    <xf numFmtId="0" fontId="1" fillId="33" borderId="0" xfId="0" applyFont="1" applyFill="1"/>
    <xf numFmtId="0" fontId="46" fillId="0" borderId="0" xfId="0" applyFont="1" applyAlignment="1">
      <alignment horizontal="center"/>
    </xf>
    <xf numFmtId="0" fontId="13" fillId="0" borderId="0" xfId="0" applyFont="1"/>
    <xf numFmtId="1" fontId="7" fillId="0" borderId="0" xfId="0" applyNumberFormat="1" applyFont="1" applyAlignment="1">
      <alignment horizontal="center" vertical="center"/>
    </xf>
    <xf numFmtId="0" fontId="11" fillId="0" borderId="0" xfId="35" applyFont="1" applyFill="1" applyBorder="1" applyAlignment="1">
      <alignment horizontal="left" vertical="center" shrinkToFit="1"/>
    </xf>
    <xf numFmtId="1" fontId="44" fillId="0" borderId="0" xfId="0" applyNumberFormat="1" applyFont="1" applyAlignment="1">
      <alignment horizontal="center" vertical="center"/>
    </xf>
    <xf numFmtId="1" fontId="45" fillId="0" borderId="0" xfId="35" applyNumberFormat="1" applyFont="1" applyFill="1" applyBorder="1" applyAlignment="1">
      <alignment horizontal="center" vertical="center"/>
    </xf>
    <xf numFmtId="1" fontId="7" fillId="33" borderId="24" xfId="0" applyNumberFormat="1" applyFont="1" applyFill="1" applyBorder="1" applyAlignment="1">
      <alignment horizontal="center" vertical="center"/>
    </xf>
    <xf numFmtId="0" fontId="11" fillId="33" borderId="25" xfId="35" applyFont="1" applyFill="1" applyBorder="1" applyAlignment="1">
      <alignment horizontal="left" vertical="center" shrinkToFit="1"/>
    </xf>
    <xf numFmtId="1" fontId="44" fillId="33" borderId="25" xfId="0" applyNumberFormat="1" applyFont="1" applyFill="1" applyBorder="1" applyAlignment="1">
      <alignment horizontal="center" vertical="center"/>
    </xf>
    <xf numFmtId="1" fontId="45" fillId="33" borderId="25" xfId="35" applyNumberFormat="1" applyFont="1" applyFill="1" applyBorder="1" applyAlignment="1">
      <alignment horizontal="center" vertical="center"/>
    </xf>
    <xf numFmtId="1" fontId="45" fillId="33" borderId="26" xfId="35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34" borderId="20" xfId="0" applyFont="1" applyFill="1" applyBorder="1" applyAlignment="1">
      <alignment horizontal="left" vertical="center" shrinkToFit="1"/>
    </xf>
    <xf numFmtId="0" fontId="11" fillId="34" borderId="14" xfId="0" applyFont="1" applyFill="1" applyBorder="1" applyAlignment="1">
      <alignment horizontal="left" vertical="center" shrinkToFit="1"/>
    </xf>
    <xf numFmtId="0" fontId="11" fillId="33" borderId="14" xfId="0" applyFont="1" applyFill="1" applyBorder="1" applyAlignment="1">
      <alignment horizontal="left" vertical="center" shrinkToFit="1"/>
    </xf>
    <xf numFmtId="0" fontId="11" fillId="33" borderId="16" xfId="0" applyFont="1" applyFill="1" applyBorder="1" applyAlignment="1">
      <alignment horizontal="left" vertical="center" shrinkToFit="1"/>
    </xf>
    <xf numFmtId="1" fontId="49" fillId="34" borderId="19" xfId="0" applyNumberFormat="1" applyFont="1" applyFill="1" applyBorder="1" applyAlignment="1">
      <alignment horizontal="center" vertical="center"/>
    </xf>
    <xf numFmtId="1" fontId="49" fillId="34" borderId="13" xfId="0" applyNumberFormat="1" applyFont="1" applyFill="1" applyBorder="1" applyAlignment="1">
      <alignment horizontal="center" vertical="center"/>
    </xf>
    <xf numFmtId="1" fontId="49" fillId="33" borderId="13" xfId="0" applyNumberFormat="1" applyFont="1" applyFill="1" applyBorder="1" applyAlignment="1">
      <alignment horizontal="center" vertical="center"/>
    </xf>
    <xf numFmtId="1" fontId="49" fillId="33" borderId="15" xfId="0" applyNumberFormat="1" applyFont="1" applyFill="1" applyBorder="1" applyAlignment="1">
      <alignment horizontal="center" vertical="center"/>
    </xf>
    <xf numFmtId="0" fontId="50" fillId="34" borderId="20" xfId="0" applyFont="1" applyFill="1" applyBorder="1" applyAlignment="1">
      <alignment horizontal="center" vertical="center" shrinkToFit="1"/>
    </xf>
    <xf numFmtId="1" fontId="51" fillId="34" borderId="14" xfId="35" applyNumberFormat="1" applyFont="1" applyFill="1" applyBorder="1" applyAlignment="1">
      <alignment horizontal="center" vertical="center"/>
    </xf>
    <xf numFmtId="1" fontId="51" fillId="34" borderId="21" xfId="35" applyNumberFormat="1" applyFont="1" applyFill="1" applyBorder="1" applyAlignment="1">
      <alignment horizontal="center" vertical="center"/>
    </xf>
    <xf numFmtId="1" fontId="52" fillId="34" borderId="17" xfId="0" applyNumberFormat="1" applyFont="1" applyFill="1" applyBorder="1" applyAlignment="1">
      <alignment horizontal="center" vertical="center"/>
    </xf>
    <xf numFmtId="1" fontId="51" fillId="34" borderId="22" xfId="35" applyNumberFormat="1" applyFont="1" applyFill="1" applyBorder="1" applyAlignment="1">
      <alignment horizontal="center" vertical="center"/>
    </xf>
    <xf numFmtId="0" fontId="53" fillId="0" borderId="0" xfId="0" applyFont="1" applyProtection="1">
      <protection hidden="1"/>
    </xf>
    <xf numFmtId="1" fontId="52" fillId="0" borderId="11" xfId="0" applyNumberFormat="1" applyFont="1" applyBorder="1" applyAlignment="1">
      <alignment horizontal="center" vertical="center"/>
    </xf>
    <xf numFmtId="1" fontId="52" fillId="0" borderId="12" xfId="0" applyNumberFormat="1" applyFont="1" applyBorder="1" applyAlignment="1">
      <alignment horizontal="center" vertical="center"/>
    </xf>
    <xf numFmtId="166" fontId="53" fillId="0" borderId="0" xfId="0" applyNumberFormat="1" applyFont="1" applyProtection="1">
      <protection hidden="1"/>
    </xf>
    <xf numFmtId="0" fontId="50" fillId="34" borderId="14" xfId="0" applyFont="1" applyFill="1" applyBorder="1" applyAlignment="1">
      <alignment horizontal="center" vertical="center" shrinkToFit="1"/>
    </xf>
    <xf numFmtId="0" fontId="50" fillId="33" borderId="14" xfId="0" applyFont="1" applyFill="1" applyBorder="1" applyAlignment="1">
      <alignment horizontal="center" vertical="center" shrinkToFit="1"/>
    </xf>
    <xf numFmtId="1" fontId="51" fillId="33" borderId="14" xfId="35" applyNumberFormat="1" applyFont="1" applyFill="1" applyBorder="1" applyAlignment="1">
      <alignment horizontal="center" vertical="center"/>
    </xf>
    <xf numFmtId="1" fontId="51" fillId="33" borderId="21" xfId="35" applyNumberFormat="1" applyFont="1" applyFill="1" applyBorder="1" applyAlignment="1">
      <alignment horizontal="center" vertical="center"/>
    </xf>
    <xf numFmtId="1" fontId="52" fillId="33" borderId="17" xfId="0" applyNumberFormat="1" applyFont="1" applyFill="1" applyBorder="1" applyAlignment="1">
      <alignment horizontal="center" vertical="center"/>
    </xf>
    <xf numFmtId="1" fontId="51" fillId="33" borderId="22" xfId="35" applyNumberFormat="1" applyFont="1" applyFill="1" applyBorder="1" applyAlignment="1">
      <alignment horizontal="center" vertical="center"/>
    </xf>
    <xf numFmtId="0" fontId="50" fillId="33" borderId="16" xfId="0" applyFont="1" applyFill="1" applyBorder="1" applyAlignment="1">
      <alignment horizontal="center" vertical="center" shrinkToFit="1"/>
    </xf>
    <xf numFmtId="1" fontId="51" fillId="33" borderId="16" xfId="35" applyNumberFormat="1" applyFont="1" applyFill="1" applyBorder="1" applyAlignment="1">
      <alignment horizontal="center" vertical="center"/>
    </xf>
    <xf numFmtId="1" fontId="51" fillId="33" borderId="23" xfId="35" applyNumberFormat="1" applyFont="1" applyFill="1" applyBorder="1" applyAlignment="1">
      <alignment horizontal="center" vertical="center"/>
    </xf>
    <xf numFmtId="1" fontId="52" fillId="33" borderId="18" xfId="0" applyNumberFormat="1" applyFont="1" applyFill="1" applyBorder="1" applyAlignment="1">
      <alignment horizontal="center" vertical="center"/>
    </xf>
    <xf numFmtId="0" fontId="54" fillId="34" borderId="20" xfId="35" applyFont="1" applyFill="1" applyBorder="1" applyAlignment="1">
      <alignment horizontal="left" vertical="center" shrinkToFit="1"/>
    </xf>
    <xf numFmtId="0" fontId="54" fillId="34" borderId="14" xfId="35" applyFont="1" applyFill="1" applyBorder="1" applyAlignment="1">
      <alignment horizontal="left" vertical="center" shrinkToFit="1"/>
    </xf>
    <xf numFmtId="0" fontId="54" fillId="33" borderId="14" xfId="35" applyFont="1" applyFill="1" applyBorder="1" applyAlignment="1">
      <alignment horizontal="left" vertical="center" shrinkToFit="1"/>
    </xf>
    <xf numFmtId="0" fontId="54" fillId="33" borderId="16" xfId="35" applyFont="1" applyFill="1" applyBorder="1" applyAlignment="1">
      <alignment horizontal="left" vertical="center" shrinkToFit="1"/>
    </xf>
    <xf numFmtId="0" fontId="29" fillId="0" borderId="0" xfId="35" applyAlignment="1"/>
    <xf numFmtId="0" fontId="55" fillId="0" borderId="0" xfId="0" applyFont="1" applyAlignment="1">
      <alignment vertical="center" wrapText="1"/>
    </xf>
    <xf numFmtId="167" fontId="3" fillId="0" borderId="0" xfId="0" applyNumberFormat="1" applyFont="1" applyAlignment="1">
      <alignment vertical="center"/>
    </xf>
    <xf numFmtId="0" fontId="61" fillId="0" borderId="0" xfId="35" applyFont="1" applyAlignment="1">
      <alignment vertical="center"/>
    </xf>
    <xf numFmtId="0" fontId="61" fillId="0" borderId="0" xfId="35" applyFont="1" applyAlignment="1">
      <alignment horizontal="center" vertical="center"/>
    </xf>
    <xf numFmtId="0" fontId="51" fillId="33" borderId="43" xfId="35" applyFont="1" applyFill="1" applyBorder="1" applyAlignment="1">
      <alignment horizontal="center" vertical="center"/>
    </xf>
    <xf numFmtId="1" fontId="64" fillId="34" borderId="14" xfId="0" applyNumberFormat="1" applyFont="1" applyFill="1" applyBorder="1" applyAlignment="1">
      <alignment horizontal="center" vertical="center"/>
    </xf>
    <xf numFmtId="1" fontId="64" fillId="33" borderId="14" xfId="0" applyNumberFormat="1" applyFont="1" applyFill="1" applyBorder="1" applyAlignment="1">
      <alignment horizontal="center" vertical="center"/>
    </xf>
    <xf numFmtId="1" fontId="64" fillId="33" borderId="16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51" fillId="33" borderId="22" xfId="35" applyFont="1" applyFill="1" applyBorder="1" applyAlignment="1">
      <alignment horizontal="center" vertical="center"/>
    </xf>
    <xf numFmtId="1" fontId="51" fillId="33" borderId="43" xfId="35" applyNumberFormat="1" applyFont="1" applyFill="1" applyBorder="1" applyAlignment="1">
      <alignment horizontal="center" vertical="center"/>
    </xf>
    <xf numFmtId="1" fontId="51" fillId="33" borderId="41" xfId="35" applyNumberFormat="1" applyFont="1" applyFill="1" applyBorder="1" applyAlignment="1">
      <alignment horizontal="center" vertical="center"/>
    </xf>
    <xf numFmtId="1" fontId="65" fillId="33" borderId="14" xfId="35" applyNumberFormat="1" applyFont="1" applyFill="1" applyBorder="1" applyAlignment="1">
      <alignment horizontal="center" vertical="center"/>
    </xf>
    <xf numFmtId="0" fontId="51" fillId="33" borderId="42" xfId="35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1" fillId="34" borderId="22" xfId="35" applyFont="1" applyFill="1" applyBorder="1" applyAlignment="1">
      <alignment horizontal="center" vertical="center"/>
    </xf>
    <xf numFmtId="1" fontId="65" fillId="33" borderId="22" xfId="35" applyNumberFormat="1" applyFont="1" applyFill="1" applyBorder="1" applyAlignment="1">
      <alignment horizontal="center" vertical="center"/>
    </xf>
    <xf numFmtId="0" fontId="67" fillId="0" borderId="0" xfId="35" applyFont="1" applyFill="1" applyAlignment="1">
      <alignment horizontal="center" vertical="center"/>
    </xf>
    <xf numFmtId="0" fontId="47" fillId="0" borderId="0" xfId="0" applyFont="1" applyAlignment="1">
      <alignment horizontal="center"/>
    </xf>
    <xf numFmtId="167" fontId="3" fillId="0" borderId="0" xfId="0" applyNumberFormat="1" applyFont="1" applyAlignment="1">
      <alignment horizontal="right" vertical="center"/>
    </xf>
    <xf numFmtId="18" fontId="59" fillId="0" borderId="0" xfId="0" applyNumberFormat="1" applyFont="1" applyAlignment="1">
      <alignment horizontal="right" vertical="center" shrinkToFit="1"/>
    </xf>
    <xf numFmtId="167" fontId="58" fillId="0" borderId="0" xfId="0" applyNumberFormat="1" applyFont="1" applyAlignment="1">
      <alignment horizontal="right" vertical="center"/>
    </xf>
    <xf numFmtId="0" fontId="66" fillId="0" borderId="0" xfId="35" applyFont="1" applyFill="1" applyAlignment="1">
      <alignment horizontal="center" vertical="center"/>
    </xf>
    <xf numFmtId="0" fontId="63" fillId="0" borderId="0" xfId="35" applyFont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164" fontId="57" fillId="0" borderId="0" xfId="0" applyNumberFormat="1" applyFont="1" applyAlignment="1">
      <alignment horizontal="center"/>
    </xf>
    <xf numFmtId="0" fontId="62" fillId="33" borderId="36" xfId="0" applyFont="1" applyFill="1" applyBorder="1" applyAlignment="1">
      <alignment horizontal="center" vertical="center"/>
    </xf>
    <xf numFmtId="0" fontId="62" fillId="33" borderId="37" xfId="0" applyFont="1" applyFill="1" applyBorder="1" applyAlignment="1">
      <alignment horizontal="center" vertical="center"/>
    </xf>
    <xf numFmtId="0" fontId="62" fillId="33" borderId="24" xfId="0" applyFont="1" applyFill="1" applyBorder="1" applyAlignment="1">
      <alignment horizontal="center" vertical="center"/>
    </xf>
    <xf numFmtId="0" fontId="48" fillId="33" borderId="38" xfId="0" applyFont="1" applyFill="1" applyBorder="1" applyAlignment="1">
      <alignment horizontal="center" vertical="center" wrapText="1"/>
    </xf>
    <xf numFmtId="0" fontId="48" fillId="33" borderId="39" xfId="0" applyFont="1" applyFill="1" applyBorder="1" applyAlignment="1">
      <alignment horizontal="center" vertical="center" wrapText="1"/>
    </xf>
    <xf numFmtId="0" fontId="48" fillId="33" borderId="40" xfId="0" applyFont="1" applyFill="1" applyBorder="1" applyAlignment="1">
      <alignment horizontal="center" vertical="center" wrapText="1"/>
    </xf>
    <xf numFmtId="0" fontId="48" fillId="33" borderId="27" xfId="0" applyFont="1" applyFill="1" applyBorder="1" applyAlignment="1">
      <alignment horizontal="center" vertical="center" wrapText="1"/>
    </xf>
    <xf numFmtId="0" fontId="48" fillId="33" borderId="28" xfId="0" applyFont="1" applyFill="1" applyBorder="1" applyAlignment="1">
      <alignment horizontal="center" vertical="center" wrapText="1"/>
    </xf>
    <xf numFmtId="0" fontId="48" fillId="33" borderId="29" xfId="0" applyFont="1" applyFill="1" applyBorder="1" applyAlignment="1">
      <alignment horizontal="center" vertical="center" wrapText="1"/>
    </xf>
    <xf numFmtId="0" fontId="48" fillId="33" borderId="30" xfId="0" applyFont="1" applyFill="1" applyBorder="1" applyAlignment="1">
      <alignment horizontal="center" vertical="center" wrapText="1"/>
    </xf>
    <xf numFmtId="0" fontId="48" fillId="33" borderId="31" xfId="0" applyFont="1" applyFill="1" applyBorder="1" applyAlignment="1">
      <alignment horizontal="center" vertical="center" wrapText="1"/>
    </xf>
    <xf numFmtId="0" fontId="48" fillId="33" borderId="32" xfId="0" applyFont="1" applyFill="1" applyBorder="1" applyAlignment="1">
      <alignment horizontal="center" vertical="center" wrapText="1"/>
    </xf>
    <xf numFmtId="0" fontId="8" fillId="33" borderId="27" xfId="0" applyFont="1" applyFill="1" applyBorder="1" applyAlignment="1">
      <alignment horizontal="center" vertical="center"/>
    </xf>
    <xf numFmtId="0" fontId="8" fillId="33" borderId="28" xfId="0" applyFont="1" applyFill="1" applyBorder="1" applyAlignment="1">
      <alignment horizontal="center" vertical="center"/>
    </xf>
    <xf numFmtId="0" fontId="8" fillId="33" borderId="29" xfId="0" applyFont="1" applyFill="1" applyBorder="1" applyAlignment="1">
      <alignment horizontal="center" vertical="center"/>
    </xf>
    <xf numFmtId="0" fontId="62" fillId="33" borderId="27" xfId="0" applyFont="1" applyFill="1" applyBorder="1" applyAlignment="1">
      <alignment horizontal="center" vertical="center"/>
    </xf>
    <xf numFmtId="0" fontId="62" fillId="33" borderId="28" xfId="0" applyFont="1" applyFill="1" applyBorder="1" applyAlignment="1">
      <alignment horizontal="center" vertical="center"/>
    </xf>
    <xf numFmtId="0" fontId="62" fillId="33" borderId="29" xfId="0" applyFont="1" applyFill="1" applyBorder="1" applyAlignment="1">
      <alignment horizontal="center" vertical="center"/>
    </xf>
    <xf numFmtId="0" fontId="62" fillId="33" borderId="27" xfId="0" applyFont="1" applyFill="1" applyBorder="1" applyAlignment="1">
      <alignment horizontal="center" vertical="center" wrapText="1"/>
    </xf>
    <xf numFmtId="0" fontId="62" fillId="33" borderId="28" xfId="0" applyFont="1" applyFill="1" applyBorder="1" applyAlignment="1">
      <alignment horizontal="center" vertical="center" wrapText="1"/>
    </xf>
    <xf numFmtId="0" fontId="62" fillId="33" borderId="29" xfId="0" applyFont="1" applyFill="1" applyBorder="1" applyAlignment="1">
      <alignment horizontal="center" vertical="center" wrapText="1"/>
    </xf>
    <xf numFmtId="0" fontId="48" fillId="33" borderId="33" xfId="0" applyFont="1" applyFill="1" applyBorder="1" applyAlignment="1">
      <alignment horizontal="center" vertical="center" wrapText="1" shrinkToFit="1"/>
    </xf>
    <xf numFmtId="0" fontId="48" fillId="33" borderId="34" xfId="0" applyFont="1" applyFill="1" applyBorder="1" applyAlignment="1">
      <alignment horizontal="center" vertical="center" wrapText="1" shrinkToFit="1"/>
    </xf>
    <xf numFmtId="0" fontId="48" fillId="33" borderId="35" xfId="0" applyFont="1" applyFill="1" applyBorder="1" applyAlignment="1">
      <alignment horizontal="center" vertical="center" shrinkToFit="1"/>
    </xf>
    <xf numFmtId="0" fontId="68" fillId="0" borderId="0" xfId="35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6" fillId="33" borderId="36" xfId="0" applyFont="1" applyFill="1" applyBorder="1" applyAlignment="1">
      <alignment horizontal="center" vertical="center"/>
    </xf>
    <xf numFmtId="0" fontId="6" fillId="33" borderId="37" xfId="0" applyFont="1" applyFill="1" applyBorder="1" applyAlignment="1">
      <alignment horizontal="center" vertical="center"/>
    </xf>
    <xf numFmtId="0" fontId="6" fillId="33" borderId="24" xfId="0" applyFont="1" applyFill="1" applyBorder="1" applyAlignment="1">
      <alignment horizontal="center" vertical="center"/>
    </xf>
    <xf numFmtId="0" fontId="7" fillId="33" borderId="27" xfId="0" applyFont="1" applyFill="1" applyBorder="1" applyAlignment="1">
      <alignment horizontal="center" vertical="center"/>
    </xf>
    <xf numFmtId="0" fontId="7" fillId="33" borderId="28" xfId="0" applyFont="1" applyFill="1" applyBorder="1" applyAlignment="1">
      <alignment horizontal="center" vertical="center"/>
    </xf>
    <xf numFmtId="0" fontId="7" fillId="33" borderId="29" xfId="0" applyFont="1" applyFill="1" applyBorder="1" applyAlignment="1">
      <alignment horizontal="center" vertical="center"/>
    </xf>
    <xf numFmtId="0" fontId="6" fillId="33" borderId="27" xfId="0" applyFont="1" applyFill="1" applyBorder="1" applyAlignment="1">
      <alignment horizontal="center" vertical="center" wrapText="1"/>
    </xf>
    <xf numFmtId="0" fontId="6" fillId="33" borderId="28" xfId="0" applyFont="1" applyFill="1" applyBorder="1" applyAlignment="1">
      <alignment horizontal="center" vertical="center" wrapText="1"/>
    </xf>
    <xf numFmtId="0" fontId="6" fillId="33" borderId="29" xfId="0" applyFont="1" applyFill="1" applyBorder="1" applyAlignment="1">
      <alignment horizontal="center" vertical="center" wrapText="1"/>
    </xf>
    <xf numFmtId="0" fontId="41" fillId="33" borderId="27" xfId="0" applyFont="1" applyFill="1" applyBorder="1" applyAlignment="1">
      <alignment horizontal="center" vertical="center" wrapText="1"/>
    </xf>
    <xf numFmtId="0" fontId="41" fillId="33" borderId="28" xfId="0" applyFont="1" applyFill="1" applyBorder="1" applyAlignment="1">
      <alignment horizontal="center" vertical="center" wrapText="1"/>
    </xf>
    <xf numFmtId="0" fontId="41" fillId="33" borderId="29" xfId="0" applyFont="1" applyFill="1" applyBorder="1" applyAlignment="1">
      <alignment horizontal="center" vertical="center" wrapText="1"/>
    </xf>
    <xf numFmtId="0" fontId="41" fillId="33" borderId="30" xfId="0" applyFont="1" applyFill="1" applyBorder="1" applyAlignment="1">
      <alignment horizontal="center" vertical="center" wrapText="1"/>
    </xf>
    <xf numFmtId="0" fontId="41" fillId="33" borderId="31" xfId="0" applyFont="1" applyFill="1" applyBorder="1" applyAlignment="1">
      <alignment horizontal="center" vertical="center" wrapText="1"/>
    </xf>
    <xf numFmtId="0" fontId="41" fillId="33" borderId="3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29" fillId="0" borderId="0" xfId="35" applyAlignment="1">
      <alignment horizontal="left"/>
    </xf>
    <xf numFmtId="164" fontId="3" fillId="0" borderId="0" xfId="0" applyNumberFormat="1" applyFont="1" applyAlignment="1">
      <alignment horizontal="right" vertical="center"/>
    </xf>
    <xf numFmtId="18" fontId="5" fillId="0" borderId="0" xfId="0" applyNumberFormat="1" applyFont="1" applyAlignment="1">
      <alignment horizontal="right" vertical="center" shrinkToFit="1"/>
    </xf>
    <xf numFmtId="0" fontId="16" fillId="0" borderId="0" xfId="0" applyFont="1"/>
    <xf numFmtId="0" fontId="39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horizontal="center"/>
    </xf>
    <xf numFmtId="0" fontId="41" fillId="33" borderId="33" xfId="0" applyFont="1" applyFill="1" applyBorder="1" applyAlignment="1">
      <alignment horizontal="center" vertical="center" wrapText="1" shrinkToFit="1"/>
    </xf>
    <xf numFmtId="0" fontId="41" fillId="33" borderId="34" xfId="0" applyFont="1" applyFill="1" applyBorder="1" applyAlignment="1">
      <alignment horizontal="center" vertical="center" wrapText="1" shrinkToFit="1"/>
    </xf>
    <xf numFmtId="0" fontId="41" fillId="33" borderId="35" xfId="0" applyFont="1" applyFill="1" applyBorder="1" applyAlignment="1">
      <alignment horizontal="center" vertical="center" shrinkToFit="1"/>
    </xf>
    <xf numFmtId="0" fontId="41" fillId="33" borderId="38" xfId="0" applyFont="1" applyFill="1" applyBorder="1" applyAlignment="1">
      <alignment horizontal="center" vertical="center" wrapText="1"/>
    </xf>
    <xf numFmtId="0" fontId="41" fillId="33" borderId="39" xfId="0" applyFont="1" applyFill="1" applyBorder="1" applyAlignment="1">
      <alignment horizontal="center" vertical="center" wrapText="1"/>
    </xf>
    <xf numFmtId="0" fontId="41" fillId="33" borderId="40" xfId="0" applyFont="1" applyFill="1" applyBorder="1" applyAlignment="1">
      <alignment horizontal="center" vertic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29" builtinId="9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1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399FF"/>
      <color rgb="FF66CCFF"/>
      <color rgb="FF96969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/FRANCE-CHAMPS.htm" TargetMode="External"/><Relationship Id="rId2" Type="http://schemas.openxmlformats.org/officeDocument/2006/relationships/image" Target="../media/image13.png"/><Relationship Id="rId1" Type="http://schemas.openxmlformats.org/officeDocument/2006/relationships/hyperlink" Target="/ARGENTINA-CHAMPS.htm" TargetMode="External"/><Relationship Id="rId4" Type="http://schemas.openxmlformats.org/officeDocument/2006/relationships/image" Target="../media/image1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hyperlink" Target="http://en.wikipedia.org/wiki/FIFA_World_Cup_Trophy" TargetMode="External"/><Relationship Id="rId1" Type="http://schemas.openxmlformats.org/officeDocument/2006/relationships/image" Target="../media/image15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82016</xdr:colOff>
      <xdr:row>20</xdr:row>
      <xdr:rowOff>114299</xdr:rowOff>
    </xdr:from>
    <xdr:to>
      <xdr:col>9</xdr:col>
      <xdr:colOff>285751</xdr:colOff>
      <xdr:row>27</xdr:row>
      <xdr:rowOff>28574</xdr:rowOff>
    </xdr:to>
    <xdr:pic>
      <xdr:nvPicPr>
        <xdr:cNvPr id="114966" name="Picture 2">
          <a:extLst>
            <a:ext uri="{FF2B5EF4-FFF2-40B4-BE49-F238E27FC236}">
              <a16:creationId xmlns:a16="http://schemas.microsoft.com/office/drawing/2014/main" id="{00000000-0008-0000-0000-000016C1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6" y="3076574"/>
          <a:ext cx="1813460" cy="218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12560</xdr:colOff>
      <xdr:row>7</xdr:row>
      <xdr:rowOff>27623</xdr:rowOff>
    </xdr:from>
    <xdr:to>
      <xdr:col>13</xdr:col>
      <xdr:colOff>723900</xdr:colOff>
      <xdr:row>15</xdr:row>
      <xdr:rowOff>74771</xdr:rowOff>
    </xdr:to>
    <xdr:pic macro="[0]!SortStandings">
      <xdr:nvPicPr>
        <xdr:cNvPr id="114969" name="Picture 9">
          <a:extLst>
            <a:ext uri="{FF2B5EF4-FFF2-40B4-BE49-F238E27FC236}">
              <a16:creationId xmlns:a16="http://schemas.microsoft.com/office/drawing/2014/main" id="{00000000-0008-0000-0000-000019C1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6910" y="961073"/>
          <a:ext cx="711340" cy="8091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91541</xdr:colOff>
      <xdr:row>20</xdr:row>
      <xdr:rowOff>114299</xdr:rowOff>
    </xdr:from>
    <xdr:to>
      <xdr:col>36</xdr:col>
      <xdr:colOff>95251</xdr:colOff>
      <xdr:row>27</xdr:row>
      <xdr:rowOff>28574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1891" y="3076574"/>
          <a:ext cx="1813460" cy="218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57153</xdr:colOff>
      <xdr:row>109</xdr:row>
      <xdr:rowOff>66681</xdr:rowOff>
    </xdr:from>
    <xdr:to>
      <xdr:col>12</xdr:col>
      <xdr:colOff>357191</xdr:colOff>
      <xdr:row>109</xdr:row>
      <xdr:rowOff>266706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8" y="2600331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25</xdr:row>
      <xdr:rowOff>57150</xdr:rowOff>
    </xdr:from>
    <xdr:to>
      <xdr:col>12</xdr:col>
      <xdr:colOff>357188</xdr:colOff>
      <xdr:row>25</xdr:row>
      <xdr:rowOff>257175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28</xdr:row>
      <xdr:rowOff>57150</xdr:rowOff>
    </xdr:from>
    <xdr:to>
      <xdr:col>12</xdr:col>
      <xdr:colOff>357188</xdr:colOff>
      <xdr:row>28</xdr:row>
      <xdr:rowOff>257175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715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34</xdr:row>
      <xdr:rowOff>57150</xdr:rowOff>
    </xdr:from>
    <xdr:to>
      <xdr:col>12</xdr:col>
      <xdr:colOff>366713</xdr:colOff>
      <xdr:row>34</xdr:row>
      <xdr:rowOff>257175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16192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41</xdr:row>
      <xdr:rowOff>57150</xdr:rowOff>
    </xdr:from>
    <xdr:to>
      <xdr:col>12</xdr:col>
      <xdr:colOff>357188</xdr:colOff>
      <xdr:row>41</xdr:row>
      <xdr:rowOff>257175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10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24</xdr:row>
      <xdr:rowOff>57150</xdr:rowOff>
    </xdr:from>
    <xdr:to>
      <xdr:col>12</xdr:col>
      <xdr:colOff>357188</xdr:colOff>
      <xdr:row>24</xdr:row>
      <xdr:rowOff>257175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897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57</xdr:row>
      <xdr:rowOff>57150</xdr:rowOff>
    </xdr:from>
    <xdr:to>
      <xdr:col>12</xdr:col>
      <xdr:colOff>357188</xdr:colOff>
      <xdr:row>57</xdr:row>
      <xdr:rowOff>257175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549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49</xdr:row>
      <xdr:rowOff>57150</xdr:rowOff>
    </xdr:from>
    <xdr:to>
      <xdr:col>12</xdr:col>
      <xdr:colOff>357188</xdr:colOff>
      <xdr:row>49</xdr:row>
      <xdr:rowOff>257175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0844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35</xdr:row>
      <xdr:rowOff>57150</xdr:rowOff>
    </xdr:from>
    <xdr:to>
      <xdr:col>12</xdr:col>
      <xdr:colOff>357188</xdr:colOff>
      <xdr:row>35</xdr:row>
      <xdr:rowOff>257175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242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39</xdr:row>
      <xdr:rowOff>57150</xdr:rowOff>
    </xdr:from>
    <xdr:to>
      <xdr:col>12</xdr:col>
      <xdr:colOff>357188</xdr:colOff>
      <xdr:row>39</xdr:row>
      <xdr:rowOff>257175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299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73</xdr:row>
      <xdr:rowOff>57150</xdr:rowOff>
    </xdr:from>
    <xdr:to>
      <xdr:col>12</xdr:col>
      <xdr:colOff>357188</xdr:colOff>
      <xdr:row>73</xdr:row>
      <xdr:rowOff>257175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872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44</xdr:row>
      <xdr:rowOff>57150</xdr:rowOff>
    </xdr:from>
    <xdr:to>
      <xdr:col>12</xdr:col>
      <xdr:colOff>357188</xdr:colOff>
      <xdr:row>44</xdr:row>
      <xdr:rowOff>257175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459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21</xdr:row>
      <xdr:rowOff>57150</xdr:rowOff>
    </xdr:from>
    <xdr:to>
      <xdr:col>12</xdr:col>
      <xdr:colOff>357188</xdr:colOff>
      <xdr:row>21</xdr:row>
      <xdr:rowOff>257175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096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50</xdr:row>
      <xdr:rowOff>57150</xdr:rowOff>
    </xdr:from>
    <xdr:to>
      <xdr:col>12</xdr:col>
      <xdr:colOff>357188</xdr:colOff>
      <xdr:row>50</xdr:row>
      <xdr:rowOff>257175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168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</xdr:row>
      <xdr:rowOff>57150</xdr:rowOff>
    </xdr:from>
    <xdr:to>
      <xdr:col>12</xdr:col>
      <xdr:colOff>357188</xdr:colOff>
      <xdr:row>19</xdr:row>
      <xdr:rowOff>257175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334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29</xdr:row>
      <xdr:rowOff>57150</xdr:rowOff>
    </xdr:from>
    <xdr:to>
      <xdr:col>12</xdr:col>
      <xdr:colOff>357188</xdr:colOff>
      <xdr:row>29</xdr:row>
      <xdr:rowOff>257175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452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48</xdr:row>
      <xdr:rowOff>57150</xdr:rowOff>
    </xdr:from>
    <xdr:to>
      <xdr:col>12</xdr:col>
      <xdr:colOff>357188</xdr:colOff>
      <xdr:row>48</xdr:row>
      <xdr:rowOff>257175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840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52</xdr:row>
      <xdr:rowOff>57150</xdr:rowOff>
    </xdr:from>
    <xdr:to>
      <xdr:col>12</xdr:col>
      <xdr:colOff>366713</xdr:colOff>
      <xdr:row>52</xdr:row>
      <xdr:rowOff>257175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15220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31</xdr:row>
      <xdr:rowOff>57150</xdr:rowOff>
    </xdr:from>
    <xdr:to>
      <xdr:col>12</xdr:col>
      <xdr:colOff>366713</xdr:colOff>
      <xdr:row>31</xdr:row>
      <xdr:rowOff>257175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9588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27</xdr:row>
      <xdr:rowOff>57150</xdr:rowOff>
    </xdr:from>
    <xdr:to>
      <xdr:col>12</xdr:col>
      <xdr:colOff>366713</xdr:colOff>
      <xdr:row>27</xdr:row>
      <xdr:rowOff>257175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39509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37</xdr:row>
      <xdr:rowOff>57150</xdr:rowOff>
    </xdr:from>
    <xdr:to>
      <xdr:col>12</xdr:col>
      <xdr:colOff>357188</xdr:colOff>
      <xdr:row>37</xdr:row>
      <xdr:rowOff>257175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20</xdr:row>
      <xdr:rowOff>57150</xdr:rowOff>
    </xdr:from>
    <xdr:to>
      <xdr:col>12</xdr:col>
      <xdr:colOff>366713</xdr:colOff>
      <xdr:row>20</xdr:row>
      <xdr:rowOff>257175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7448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40</xdr:row>
      <xdr:rowOff>57150</xdr:rowOff>
    </xdr:from>
    <xdr:to>
      <xdr:col>12</xdr:col>
      <xdr:colOff>376238</xdr:colOff>
      <xdr:row>40</xdr:row>
      <xdr:rowOff>257175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5275" y="17487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23</xdr:row>
      <xdr:rowOff>57150</xdr:rowOff>
    </xdr:from>
    <xdr:to>
      <xdr:col>12</xdr:col>
      <xdr:colOff>357188</xdr:colOff>
      <xdr:row>23</xdr:row>
      <xdr:rowOff>257175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402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51</xdr:row>
      <xdr:rowOff>57150</xdr:rowOff>
    </xdr:from>
    <xdr:to>
      <xdr:col>12</xdr:col>
      <xdr:colOff>366713</xdr:colOff>
      <xdr:row>51</xdr:row>
      <xdr:rowOff>257175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5702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38</xdr:row>
      <xdr:rowOff>57150</xdr:rowOff>
    </xdr:from>
    <xdr:to>
      <xdr:col>12</xdr:col>
      <xdr:colOff>366713</xdr:colOff>
      <xdr:row>38</xdr:row>
      <xdr:rowOff>257175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36595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30</xdr:row>
      <xdr:rowOff>57150</xdr:rowOff>
    </xdr:from>
    <xdr:to>
      <xdr:col>12</xdr:col>
      <xdr:colOff>357188</xdr:colOff>
      <xdr:row>30</xdr:row>
      <xdr:rowOff>257175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61</xdr:row>
      <xdr:rowOff>57150</xdr:rowOff>
    </xdr:from>
    <xdr:to>
      <xdr:col>12</xdr:col>
      <xdr:colOff>357188</xdr:colOff>
      <xdr:row>61</xdr:row>
      <xdr:rowOff>257175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605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36</xdr:row>
      <xdr:rowOff>57150</xdr:rowOff>
    </xdr:from>
    <xdr:to>
      <xdr:col>12</xdr:col>
      <xdr:colOff>357188</xdr:colOff>
      <xdr:row>36</xdr:row>
      <xdr:rowOff>257175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356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53</xdr:row>
      <xdr:rowOff>57150</xdr:rowOff>
    </xdr:from>
    <xdr:to>
      <xdr:col>12</xdr:col>
      <xdr:colOff>357188</xdr:colOff>
      <xdr:row>53</xdr:row>
      <xdr:rowOff>257175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139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22</xdr:row>
      <xdr:rowOff>57150</xdr:rowOff>
    </xdr:from>
    <xdr:to>
      <xdr:col>12</xdr:col>
      <xdr:colOff>357188</xdr:colOff>
      <xdr:row>22</xdr:row>
      <xdr:rowOff>257175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630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58</xdr:row>
      <xdr:rowOff>57150</xdr:rowOff>
    </xdr:from>
    <xdr:to>
      <xdr:col>12</xdr:col>
      <xdr:colOff>357188</xdr:colOff>
      <xdr:row>58</xdr:row>
      <xdr:rowOff>257175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072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26</xdr:row>
      <xdr:rowOff>57150</xdr:rowOff>
    </xdr:from>
    <xdr:to>
      <xdr:col>12</xdr:col>
      <xdr:colOff>357188</xdr:colOff>
      <xdr:row>26</xdr:row>
      <xdr:rowOff>257175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260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43</xdr:row>
      <xdr:rowOff>57150</xdr:rowOff>
    </xdr:from>
    <xdr:to>
      <xdr:col>12</xdr:col>
      <xdr:colOff>357188</xdr:colOff>
      <xdr:row>43</xdr:row>
      <xdr:rowOff>257175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954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46</xdr:row>
      <xdr:rowOff>57150</xdr:rowOff>
    </xdr:from>
    <xdr:to>
      <xdr:col>12</xdr:col>
      <xdr:colOff>357188</xdr:colOff>
      <xdr:row>46</xdr:row>
      <xdr:rowOff>257175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772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32</xdr:row>
      <xdr:rowOff>57150</xdr:rowOff>
    </xdr:from>
    <xdr:to>
      <xdr:col>12</xdr:col>
      <xdr:colOff>357188</xdr:colOff>
      <xdr:row>32</xdr:row>
      <xdr:rowOff>257175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253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166</xdr:row>
      <xdr:rowOff>57150</xdr:rowOff>
    </xdr:from>
    <xdr:to>
      <xdr:col>12</xdr:col>
      <xdr:colOff>367665</xdr:colOff>
      <xdr:row>166</xdr:row>
      <xdr:rowOff>270510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0" y="45662850"/>
          <a:ext cx="320040" cy="21336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146</xdr:row>
      <xdr:rowOff>57150</xdr:rowOff>
    </xdr:from>
    <xdr:to>
      <xdr:col>12</xdr:col>
      <xdr:colOff>357188</xdr:colOff>
      <xdr:row>146</xdr:row>
      <xdr:rowOff>257175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86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195</xdr:row>
      <xdr:rowOff>57150</xdr:rowOff>
    </xdr:from>
    <xdr:to>
      <xdr:col>12</xdr:col>
      <xdr:colOff>357188</xdr:colOff>
      <xdr:row>195</xdr:row>
      <xdr:rowOff>257175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05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127</xdr:row>
      <xdr:rowOff>57150</xdr:rowOff>
    </xdr:from>
    <xdr:to>
      <xdr:col>12</xdr:col>
      <xdr:colOff>357188</xdr:colOff>
      <xdr:row>127</xdr:row>
      <xdr:rowOff>257175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29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89</xdr:row>
      <xdr:rowOff>57150</xdr:rowOff>
    </xdr:from>
    <xdr:to>
      <xdr:col>12</xdr:col>
      <xdr:colOff>357188</xdr:colOff>
      <xdr:row>89</xdr:row>
      <xdr:rowOff>257175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800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69</xdr:row>
      <xdr:rowOff>57150</xdr:rowOff>
    </xdr:from>
    <xdr:to>
      <xdr:col>12</xdr:col>
      <xdr:colOff>357188</xdr:colOff>
      <xdr:row>69</xdr:row>
      <xdr:rowOff>257175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124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82</xdr:row>
      <xdr:rowOff>57150</xdr:rowOff>
    </xdr:from>
    <xdr:to>
      <xdr:col>12</xdr:col>
      <xdr:colOff>357188</xdr:colOff>
      <xdr:row>82</xdr:row>
      <xdr:rowOff>257175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772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119</xdr:row>
      <xdr:rowOff>57150</xdr:rowOff>
    </xdr:from>
    <xdr:to>
      <xdr:col>12</xdr:col>
      <xdr:colOff>357188</xdr:colOff>
      <xdr:row>119</xdr:row>
      <xdr:rowOff>257175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715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194</xdr:row>
      <xdr:rowOff>57150</xdr:rowOff>
    </xdr:from>
    <xdr:to>
      <xdr:col>12</xdr:col>
      <xdr:colOff>357188</xdr:colOff>
      <xdr:row>194</xdr:row>
      <xdr:rowOff>257175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334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66</xdr:row>
      <xdr:rowOff>57150</xdr:rowOff>
    </xdr:from>
    <xdr:to>
      <xdr:col>12</xdr:col>
      <xdr:colOff>357188</xdr:colOff>
      <xdr:row>66</xdr:row>
      <xdr:rowOff>257175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982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62</xdr:row>
      <xdr:rowOff>57150</xdr:rowOff>
    </xdr:from>
    <xdr:to>
      <xdr:col>12</xdr:col>
      <xdr:colOff>357188</xdr:colOff>
      <xdr:row>62</xdr:row>
      <xdr:rowOff>257175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3277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124</xdr:row>
      <xdr:rowOff>57150</xdr:rowOff>
    </xdr:from>
    <xdr:to>
      <xdr:col>12</xdr:col>
      <xdr:colOff>357188</xdr:colOff>
      <xdr:row>124</xdr:row>
      <xdr:rowOff>257175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249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80</xdr:row>
      <xdr:rowOff>57150</xdr:rowOff>
    </xdr:from>
    <xdr:to>
      <xdr:col>12</xdr:col>
      <xdr:colOff>357188</xdr:colOff>
      <xdr:row>80</xdr:row>
      <xdr:rowOff>257175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897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159</xdr:row>
      <xdr:rowOff>57150</xdr:rowOff>
    </xdr:from>
    <xdr:to>
      <xdr:col>12</xdr:col>
      <xdr:colOff>357188</xdr:colOff>
      <xdr:row>159</xdr:row>
      <xdr:rowOff>257175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811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77</xdr:row>
      <xdr:rowOff>57150</xdr:rowOff>
    </xdr:from>
    <xdr:to>
      <xdr:col>12</xdr:col>
      <xdr:colOff>357188</xdr:colOff>
      <xdr:row>77</xdr:row>
      <xdr:rowOff>257175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754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197</xdr:row>
      <xdr:rowOff>57150</xdr:rowOff>
    </xdr:from>
    <xdr:to>
      <xdr:col>12</xdr:col>
      <xdr:colOff>357188</xdr:colOff>
      <xdr:row>197</xdr:row>
      <xdr:rowOff>257175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1697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67</xdr:row>
      <xdr:rowOff>57150</xdr:rowOff>
    </xdr:from>
    <xdr:to>
      <xdr:col>12</xdr:col>
      <xdr:colOff>357188</xdr:colOff>
      <xdr:row>67</xdr:row>
      <xdr:rowOff>257175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317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110</xdr:row>
      <xdr:rowOff>57150</xdr:rowOff>
    </xdr:from>
    <xdr:to>
      <xdr:col>12</xdr:col>
      <xdr:colOff>357188</xdr:colOff>
      <xdr:row>110</xdr:row>
      <xdr:rowOff>257175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641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170</xdr:row>
      <xdr:rowOff>57150</xdr:rowOff>
    </xdr:from>
    <xdr:to>
      <xdr:col>12</xdr:col>
      <xdr:colOff>357188</xdr:colOff>
      <xdr:row>170</xdr:row>
      <xdr:rowOff>257175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964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70</xdr:row>
      <xdr:rowOff>57150</xdr:rowOff>
    </xdr:from>
    <xdr:to>
      <xdr:col>12</xdr:col>
      <xdr:colOff>357188</xdr:colOff>
      <xdr:row>70</xdr:row>
      <xdr:rowOff>257175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6555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152</xdr:row>
      <xdr:rowOff>57150</xdr:rowOff>
    </xdr:from>
    <xdr:to>
      <xdr:col>12</xdr:col>
      <xdr:colOff>357188</xdr:colOff>
      <xdr:row>152</xdr:row>
      <xdr:rowOff>257175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851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86</xdr:row>
      <xdr:rowOff>57150</xdr:rowOff>
    </xdr:from>
    <xdr:to>
      <xdr:col>12</xdr:col>
      <xdr:colOff>357188</xdr:colOff>
      <xdr:row>86</xdr:row>
      <xdr:rowOff>257175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822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183</xdr:row>
      <xdr:rowOff>57150</xdr:rowOff>
    </xdr:from>
    <xdr:to>
      <xdr:col>12</xdr:col>
      <xdr:colOff>357188</xdr:colOff>
      <xdr:row>183</xdr:row>
      <xdr:rowOff>257175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765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104</xdr:row>
      <xdr:rowOff>57150</xdr:rowOff>
    </xdr:from>
    <xdr:to>
      <xdr:col>12</xdr:col>
      <xdr:colOff>357188</xdr:colOff>
      <xdr:row>104</xdr:row>
      <xdr:rowOff>257175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061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138</xdr:row>
      <xdr:rowOff>57150</xdr:rowOff>
    </xdr:from>
    <xdr:to>
      <xdr:col>12</xdr:col>
      <xdr:colOff>357188</xdr:colOff>
      <xdr:row>138</xdr:row>
      <xdr:rowOff>257175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385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71</xdr:row>
      <xdr:rowOff>57150</xdr:rowOff>
    </xdr:from>
    <xdr:to>
      <xdr:col>12</xdr:col>
      <xdr:colOff>357188</xdr:colOff>
      <xdr:row>71</xdr:row>
      <xdr:rowOff>257175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004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158</xdr:row>
      <xdr:rowOff>57150</xdr:rowOff>
    </xdr:from>
    <xdr:to>
      <xdr:col>12</xdr:col>
      <xdr:colOff>357188</xdr:colOff>
      <xdr:row>158</xdr:row>
      <xdr:rowOff>257175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328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93</xdr:row>
      <xdr:rowOff>57150</xdr:rowOff>
    </xdr:from>
    <xdr:to>
      <xdr:col>12</xdr:col>
      <xdr:colOff>357188</xdr:colOff>
      <xdr:row>93</xdr:row>
      <xdr:rowOff>257175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651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116</xdr:row>
      <xdr:rowOff>57150</xdr:rowOff>
    </xdr:from>
    <xdr:to>
      <xdr:col>12</xdr:col>
      <xdr:colOff>357188</xdr:colOff>
      <xdr:row>116</xdr:row>
      <xdr:rowOff>257175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299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64</xdr:row>
      <xdr:rowOff>57150</xdr:rowOff>
    </xdr:from>
    <xdr:to>
      <xdr:col>12</xdr:col>
      <xdr:colOff>357188</xdr:colOff>
      <xdr:row>64</xdr:row>
      <xdr:rowOff>257175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91</xdr:row>
      <xdr:rowOff>57150</xdr:rowOff>
    </xdr:from>
    <xdr:to>
      <xdr:col>12</xdr:col>
      <xdr:colOff>357188</xdr:colOff>
      <xdr:row>91</xdr:row>
      <xdr:rowOff>257175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271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162</xdr:row>
      <xdr:rowOff>57150</xdr:rowOff>
    </xdr:from>
    <xdr:to>
      <xdr:col>12</xdr:col>
      <xdr:colOff>357188</xdr:colOff>
      <xdr:row>162</xdr:row>
      <xdr:rowOff>257175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214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81</xdr:row>
      <xdr:rowOff>57150</xdr:rowOff>
    </xdr:from>
    <xdr:to>
      <xdr:col>12</xdr:col>
      <xdr:colOff>357188</xdr:colOff>
      <xdr:row>81</xdr:row>
      <xdr:rowOff>257175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072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75</xdr:row>
      <xdr:rowOff>57150</xdr:rowOff>
    </xdr:from>
    <xdr:to>
      <xdr:col>12</xdr:col>
      <xdr:colOff>357188</xdr:colOff>
      <xdr:row>75</xdr:row>
      <xdr:rowOff>257175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691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187</xdr:row>
      <xdr:rowOff>57150</xdr:rowOff>
    </xdr:from>
    <xdr:to>
      <xdr:col>12</xdr:col>
      <xdr:colOff>357188</xdr:colOff>
      <xdr:row>187</xdr:row>
      <xdr:rowOff>257175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986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128</xdr:row>
      <xdr:rowOff>57150</xdr:rowOff>
    </xdr:from>
    <xdr:to>
      <xdr:col>12</xdr:col>
      <xdr:colOff>357188</xdr:colOff>
      <xdr:row>128</xdr:row>
      <xdr:rowOff>257175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6310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94</xdr:row>
      <xdr:rowOff>57150</xdr:rowOff>
    </xdr:from>
    <xdr:to>
      <xdr:col>12</xdr:col>
      <xdr:colOff>357188</xdr:colOff>
      <xdr:row>94</xdr:row>
      <xdr:rowOff>257175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605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143</xdr:row>
      <xdr:rowOff>57150</xdr:rowOff>
    </xdr:from>
    <xdr:to>
      <xdr:col>12</xdr:col>
      <xdr:colOff>357188</xdr:colOff>
      <xdr:row>143</xdr:row>
      <xdr:rowOff>257175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929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107</xdr:row>
      <xdr:rowOff>57150</xdr:rowOff>
    </xdr:from>
    <xdr:to>
      <xdr:col>12</xdr:col>
      <xdr:colOff>357188</xdr:colOff>
      <xdr:row>107</xdr:row>
      <xdr:rowOff>257175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253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129</xdr:row>
      <xdr:rowOff>57150</xdr:rowOff>
    </xdr:from>
    <xdr:to>
      <xdr:col>12</xdr:col>
      <xdr:colOff>357188</xdr:colOff>
      <xdr:row>129</xdr:row>
      <xdr:rowOff>257175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549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105</xdr:row>
      <xdr:rowOff>57150</xdr:rowOff>
    </xdr:from>
    <xdr:to>
      <xdr:col>12</xdr:col>
      <xdr:colOff>357188</xdr:colOff>
      <xdr:row>105</xdr:row>
      <xdr:rowOff>257175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872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114</xdr:row>
      <xdr:rowOff>57150</xdr:rowOff>
    </xdr:from>
    <xdr:to>
      <xdr:col>12</xdr:col>
      <xdr:colOff>357188</xdr:colOff>
      <xdr:row>114</xdr:row>
      <xdr:rowOff>257175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0520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199</xdr:row>
      <xdr:rowOff>57150</xdr:rowOff>
    </xdr:from>
    <xdr:to>
      <xdr:col>12</xdr:col>
      <xdr:colOff>357188</xdr:colOff>
      <xdr:row>199</xdr:row>
      <xdr:rowOff>257175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168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139</xdr:row>
      <xdr:rowOff>57150</xdr:rowOff>
    </xdr:from>
    <xdr:to>
      <xdr:col>12</xdr:col>
      <xdr:colOff>357188</xdr:colOff>
      <xdr:row>139</xdr:row>
      <xdr:rowOff>257175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463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100</xdr:row>
      <xdr:rowOff>57150</xdr:rowOff>
    </xdr:from>
    <xdr:to>
      <xdr:col>12</xdr:col>
      <xdr:colOff>357188</xdr:colOff>
      <xdr:row>100</xdr:row>
      <xdr:rowOff>257175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787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151</xdr:row>
      <xdr:rowOff>57150</xdr:rowOff>
    </xdr:from>
    <xdr:to>
      <xdr:col>12</xdr:col>
      <xdr:colOff>357188</xdr:colOff>
      <xdr:row>151</xdr:row>
      <xdr:rowOff>257175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111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176</xdr:row>
      <xdr:rowOff>57150</xdr:rowOff>
    </xdr:from>
    <xdr:to>
      <xdr:col>12</xdr:col>
      <xdr:colOff>357188</xdr:colOff>
      <xdr:row>176</xdr:row>
      <xdr:rowOff>257175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435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112</xdr:row>
      <xdr:rowOff>57150</xdr:rowOff>
    </xdr:from>
    <xdr:to>
      <xdr:col>12</xdr:col>
      <xdr:colOff>357188</xdr:colOff>
      <xdr:row>112</xdr:row>
      <xdr:rowOff>257175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759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76</xdr:row>
      <xdr:rowOff>57150</xdr:rowOff>
    </xdr:from>
    <xdr:to>
      <xdr:col>12</xdr:col>
      <xdr:colOff>357188</xdr:colOff>
      <xdr:row>76</xdr:row>
      <xdr:rowOff>257175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4082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97</xdr:row>
      <xdr:rowOff>57150</xdr:rowOff>
    </xdr:from>
    <xdr:to>
      <xdr:col>12</xdr:col>
      <xdr:colOff>357188</xdr:colOff>
      <xdr:row>97</xdr:row>
      <xdr:rowOff>257175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026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157</xdr:row>
      <xdr:rowOff>57150</xdr:rowOff>
    </xdr:from>
    <xdr:to>
      <xdr:col>12</xdr:col>
      <xdr:colOff>357188</xdr:colOff>
      <xdr:row>157</xdr:row>
      <xdr:rowOff>257175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321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171</xdr:row>
      <xdr:rowOff>57150</xdr:rowOff>
    </xdr:from>
    <xdr:to>
      <xdr:col>12</xdr:col>
      <xdr:colOff>357188</xdr:colOff>
      <xdr:row>171</xdr:row>
      <xdr:rowOff>257175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264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167</xdr:row>
      <xdr:rowOff>57150</xdr:rowOff>
    </xdr:from>
    <xdr:to>
      <xdr:col>12</xdr:col>
      <xdr:colOff>357188</xdr:colOff>
      <xdr:row>167</xdr:row>
      <xdr:rowOff>257175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588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182</xdr:row>
      <xdr:rowOff>57150</xdr:rowOff>
    </xdr:from>
    <xdr:to>
      <xdr:col>12</xdr:col>
      <xdr:colOff>357188</xdr:colOff>
      <xdr:row>182</xdr:row>
      <xdr:rowOff>257175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0559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68</xdr:row>
      <xdr:rowOff>57150</xdr:rowOff>
    </xdr:from>
    <xdr:to>
      <xdr:col>12</xdr:col>
      <xdr:colOff>357188</xdr:colOff>
      <xdr:row>68</xdr:row>
      <xdr:rowOff>257175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164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85</xdr:row>
      <xdr:rowOff>57150</xdr:rowOff>
    </xdr:from>
    <xdr:to>
      <xdr:col>12</xdr:col>
      <xdr:colOff>357188</xdr:colOff>
      <xdr:row>85</xdr:row>
      <xdr:rowOff>257175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527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163</xdr:row>
      <xdr:rowOff>57150</xdr:rowOff>
    </xdr:from>
    <xdr:to>
      <xdr:col>12</xdr:col>
      <xdr:colOff>357188</xdr:colOff>
      <xdr:row>163</xdr:row>
      <xdr:rowOff>257175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645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198</xdr:row>
      <xdr:rowOff>57150</xdr:rowOff>
    </xdr:from>
    <xdr:to>
      <xdr:col>12</xdr:col>
      <xdr:colOff>357188</xdr:colOff>
      <xdr:row>198</xdr:row>
      <xdr:rowOff>257175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90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154</xdr:row>
      <xdr:rowOff>57150</xdr:rowOff>
    </xdr:from>
    <xdr:to>
      <xdr:col>12</xdr:col>
      <xdr:colOff>357188</xdr:colOff>
      <xdr:row>154</xdr:row>
      <xdr:rowOff>257175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168</xdr:row>
      <xdr:rowOff>57150</xdr:rowOff>
    </xdr:from>
    <xdr:to>
      <xdr:col>12</xdr:col>
      <xdr:colOff>357188</xdr:colOff>
      <xdr:row>168</xdr:row>
      <xdr:rowOff>257175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448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161</xdr:row>
      <xdr:rowOff>57150</xdr:rowOff>
    </xdr:from>
    <xdr:to>
      <xdr:col>12</xdr:col>
      <xdr:colOff>357188</xdr:colOff>
      <xdr:row>161</xdr:row>
      <xdr:rowOff>257175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096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184</xdr:row>
      <xdr:rowOff>57150</xdr:rowOff>
    </xdr:from>
    <xdr:to>
      <xdr:col>12</xdr:col>
      <xdr:colOff>357188</xdr:colOff>
      <xdr:row>184</xdr:row>
      <xdr:rowOff>257175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391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153</xdr:row>
      <xdr:rowOff>57150</xdr:rowOff>
    </xdr:from>
    <xdr:to>
      <xdr:col>12</xdr:col>
      <xdr:colOff>357188</xdr:colOff>
      <xdr:row>153</xdr:row>
      <xdr:rowOff>257175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658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137</xdr:row>
      <xdr:rowOff>57150</xdr:rowOff>
    </xdr:from>
    <xdr:to>
      <xdr:col>12</xdr:col>
      <xdr:colOff>357188</xdr:colOff>
      <xdr:row>137</xdr:row>
      <xdr:rowOff>257175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5544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120</xdr:row>
      <xdr:rowOff>57150</xdr:rowOff>
    </xdr:from>
    <xdr:to>
      <xdr:col>12</xdr:col>
      <xdr:colOff>357188</xdr:colOff>
      <xdr:row>120</xdr:row>
      <xdr:rowOff>257175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516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98</xdr:row>
      <xdr:rowOff>57150</xdr:rowOff>
    </xdr:from>
    <xdr:to>
      <xdr:col>12</xdr:col>
      <xdr:colOff>357188</xdr:colOff>
      <xdr:row>98</xdr:row>
      <xdr:rowOff>257175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135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155</xdr:row>
      <xdr:rowOff>57150</xdr:rowOff>
    </xdr:from>
    <xdr:to>
      <xdr:col>12</xdr:col>
      <xdr:colOff>357188</xdr:colOff>
      <xdr:row>155</xdr:row>
      <xdr:rowOff>257175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107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149</xdr:row>
      <xdr:rowOff>57150</xdr:rowOff>
    </xdr:from>
    <xdr:to>
      <xdr:col>12</xdr:col>
      <xdr:colOff>357188</xdr:colOff>
      <xdr:row>149</xdr:row>
      <xdr:rowOff>257175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402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121</xdr:row>
      <xdr:rowOff>57150</xdr:rowOff>
    </xdr:from>
    <xdr:to>
      <xdr:col>12</xdr:col>
      <xdr:colOff>357188</xdr:colOff>
      <xdr:row>121</xdr:row>
      <xdr:rowOff>257175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203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113</xdr:row>
      <xdr:rowOff>57150</xdr:rowOff>
    </xdr:from>
    <xdr:to>
      <xdr:col>12</xdr:col>
      <xdr:colOff>357188</xdr:colOff>
      <xdr:row>113</xdr:row>
      <xdr:rowOff>257175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174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160</xdr:row>
      <xdr:rowOff>57150</xdr:rowOff>
    </xdr:from>
    <xdr:to>
      <xdr:col>12</xdr:col>
      <xdr:colOff>357188</xdr:colOff>
      <xdr:row>160</xdr:row>
      <xdr:rowOff>257175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146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150</xdr:row>
      <xdr:rowOff>57150</xdr:rowOff>
    </xdr:from>
    <xdr:to>
      <xdr:col>12</xdr:col>
      <xdr:colOff>357188</xdr:colOff>
      <xdr:row>150</xdr:row>
      <xdr:rowOff>257175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470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173</xdr:row>
      <xdr:rowOff>57150</xdr:rowOff>
    </xdr:from>
    <xdr:to>
      <xdr:col>12</xdr:col>
      <xdr:colOff>357188</xdr:colOff>
      <xdr:row>173</xdr:row>
      <xdr:rowOff>257175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1089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186</xdr:row>
      <xdr:rowOff>57150</xdr:rowOff>
    </xdr:from>
    <xdr:to>
      <xdr:col>12</xdr:col>
      <xdr:colOff>357188</xdr:colOff>
      <xdr:row>186</xdr:row>
      <xdr:rowOff>257175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708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115</xdr:row>
      <xdr:rowOff>57150</xdr:rowOff>
    </xdr:from>
    <xdr:to>
      <xdr:col>12</xdr:col>
      <xdr:colOff>357188</xdr:colOff>
      <xdr:row>115</xdr:row>
      <xdr:rowOff>257175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975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140</xdr:row>
      <xdr:rowOff>57150</xdr:rowOff>
    </xdr:from>
    <xdr:to>
      <xdr:col>12</xdr:col>
      <xdr:colOff>357188</xdr:colOff>
      <xdr:row>140</xdr:row>
      <xdr:rowOff>257175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595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189</xdr:row>
      <xdr:rowOff>57150</xdr:rowOff>
    </xdr:from>
    <xdr:to>
      <xdr:col>12</xdr:col>
      <xdr:colOff>357188</xdr:colOff>
      <xdr:row>189</xdr:row>
      <xdr:rowOff>257175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538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190</xdr:row>
      <xdr:rowOff>57150</xdr:rowOff>
    </xdr:from>
    <xdr:to>
      <xdr:col>12</xdr:col>
      <xdr:colOff>357188</xdr:colOff>
      <xdr:row>190</xdr:row>
      <xdr:rowOff>257175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0805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192</xdr:row>
      <xdr:rowOff>57150</xdr:rowOff>
    </xdr:from>
    <xdr:to>
      <xdr:col>12</xdr:col>
      <xdr:colOff>357188</xdr:colOff>
      <xdr:row>192</xdr:row>
      <xdr:rowOff>257175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395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144</xdr:row>
      <xdr:rowOff>57150</xdr:rowOff>
    </xdr:from>
    <xdr:to>
      <xdr:col>12</xdr:col>
      <xdr:colOff>357188</xdr:colOff>
      <xdr:row>144</xdr:row>
      <xdr:rowOff>257175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225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142</xdr:row>
      <xdr:rowOff>57150</xdr:rowOff>
    </xdr:from>
    <xdr:to>
      <xdr:col>12</xdr:col>
      <xdr:colOff>357188</xdr:colOff>
      <xdr:row>142</xdr:row>
      <xdr:rowOff>257175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997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164</xdr:row>
      <xdr:rowOff>57150</xdr:rowOff>
    </xdr:from>
    <xdr:to>
      <xdr:col>12</xdr:col>
      <xdr:colOff>357188</xdr:colOff>
      <xdr:row>164</xdr:row>
      <xdr:rowOff>257175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912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54</xdr:row>
      <xdr:rowOff>57150</xdr:rowOff>
    </xdr:from>
    <xdr:to>
      <xdr:col>12</xdr:col>
      <xdr:colOff>357188</xdr:colOff>
      <xdr:row>54</xdr:row>
      <xdr:rowOff>257175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14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79</xdr:row>
      <xdr:rowOff>57150</xdr:rowOff>
    </xdr:from>
    <xdr:to>
      <xdr:col>12</xdr:col>
      <xdr:colOff>357188</xdr:colOff>
      <xdr:row>79</xdr:row>
      <xdr:rowOff>257175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95</xdr:row>
      <xdr:rowOff>57150</xdr:rowOff>
    </xdr:from>
    <xdr:to>
      <xdr:col>12</xdr:col>
      <xdr:colOff>357188</xdr:colOff>
      <xdr:row>95</xdr:row>
      <xdr:rowOff>257175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92</xdr:row>
      <xdr:rowOff>57150</xdr:rowOff>
    </xdr:from>
    <xdr:to>
      <xdr:col>12</xdr:col>
      <xdr:colOff>357188</xdr:colOff>
      <xdr:row>92</xdr:row>
      <xdr:rowOff>257175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153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59</xdr:row>
      <xdr:rowOff>57150</xdr:rowOff>
    </xdr:from>
    <xdr:to>
      <xdr:col>12</xdr:col>
      <xdr:colOff>357188</xdr:colOff>
      <xdr:row>59</xdr:row>
      <xdr:rowOff>257175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0687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72</xdr:row>
      <xdr:rowOff>57150</xdr:rowOff>
    </xdr:from>
    <xdr:to>
      <xdr:col>12</xdr:col>
      <xdr:colOff>357188</xdr:colOff>
      <xdr:row>72</xdr:row>
      <xdr:rowOff>257175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954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45</xdr:row>
      <xdr:rowOff>57150</xdr:rowOff>
    </xdr:from>
    <xdr:to>
      <xdr:col>12</xdr:col>
      <xdr:colOff>357188</xdr:colOff>
      <xdr:row>45</xdr:row>
      <xdr:rowOff>257175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840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106</xdr:row>
      <xdr:rowOff>57150</xdr:rowOff>
    </xdr:from>
    <xdr:to>
      <xdr:col>12</xdr:col>
      <xdr:colOff>357188</xdr:colOff>
      <xdr:row>106</xdr:row>
      <xdr:rowOff>257175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487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130</xdr:row>
      <xdr:rowOff>57150</xdr:rowOff>
    </xdr:from>
    <xdr:to>
      <xdr:col>12</xdr:col>
      <xdr:colOff>357188</xdr:colOff>
      <xdr:row>130</xdr:row>
      <xdr:rowOff>257175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459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33</xdr:row>
      <xdr:rowOff>57150</xdr:rowOff>
    </xdr:from>
    <xdr:to>
      <xdr:col>12</xdr:col>
      <xdr:colOff>357188</xdr:colOff>
      <xdr:row>33</xdr:row>
      <xdr:rowOff>257175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726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60</xdr:row>
      <xdr:rowOff>57150</xdr:rowOff>
    </xdr:from>
    <xdr:to>
      <xdr:col>12</xdr:col>
      <xdr:colOff>357188</xdr:colOff>
      <xdr:row>60</xdr:row>
      <xdr:rowOff>257175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1374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102</xdr:row>
      <xdr:rowOff>57150</xdr:rowOff>
    </xdr:from>
    <xdr:to>
      <xdr:col>12</xdr:col>
      <xdr:colOff>357188</xdr:colOff>
      <xdr:row>102</xdr:row>
      <xdr:rowOff>257175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260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117</xdr:row>
      <xdr:rowOff>57150</xdr:rowOff>
    </xdr:from>
    <xdr:to>
      <xdr:col>12</xdr:col>
      <xdr:colOff>357188</xdr:colOff>
      <xdr:row>117</xdr:row>
      <xdr:rowOff>257175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584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42</xdr:row>
      <xdr:rowOff>57150</xdr:rowOff>
    </xdr:from>
    <xdr:to>
      <xdr:col>12</xdr:col>
      <xdr:colOff>357188</xdr:colOff>
      <xdr:row>42</xdr:row>
      <xdr:rowOff>257175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6879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96</xdr:row>
      <xdr:rowOff>57150</xdr:rowOff>
    </xdr:from>
    <xdr:to>
      <xdr:col>12</xdr:col>
      <xdr:colOff>357188</xdr:colOff>
      <xdr:row>96</xdr:row>
      <xdr:rowOff>257175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498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101</xdr:row>
      <xdr:rowOff>57150</xdr:rowOff>
    </xdr:from>
    <xdr:to>
      <xdr:col>12</xdr:col>
      <xdr:colOff>357188</xdr:colOff>
      <xdr:row>101</xdr:row>
      <xdr:rowOff>257175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356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47</xdr:row>
      <xdr:rowOff>57150</xdr:rowOff>
    </xdr:from>
    <xdr:to>
      <xdr:col>12</xdr:col>
      <xdr:colOff>357188</xdr:colOff>
      <xdr:row>47</xdr:row>
      <xdr:rowOff>257175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918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90</xdr:row>
      <xdr:rowOff>57150</xdr:rowOff>
    </xdr:from>
    <xdr:to>
      <xdr:col>12</xdr:col>
      <xdr:colOff>357188</xdr:colOff>
      <xdr:row>90</xdr:row>
      <xdr:rowOff>257175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566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74</xdr:row>
      <xdr:rowOff>57150</xdr:rowOff>
    </xdr:from>
    <xdr:to>
      <xdr:col>12</xdr:col>
      <xdr:colOff>357188</xdr:colOff>
      <xdr:row>74</xdr:row>
      <xdr:rowOff>257175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9185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108</xdr:row>
      <xdr:rowOff>57150</xdr:rowOff>
    </xdr:from>
    <xdr:to>
      <xdr:col>12</xdr:col>
      <xdr:colOff>357188</xdr:colOff>
      <xdr:row>108</xdr:row>
      <xdr:rowOff>257175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100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83</xdr:row>
      <xdr:rowOff>57150</xdr:rowOff>
    </xdr:from>
    <xdr:to>
      <xdr:col>12</xdr:col>
      <xdr:colOff>357188</xdr:colOff>
      <xdr:row>83</xdr:row>
      <xdr:rowOff>257175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367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63</xdr:row>
      <xdr:rowOff>57150</xdr:rowOff>
    </xdr:from>
    <xdr:to>
      <xdr:col>12</xdr:col>
      <xdr:colOff>357188</xdr:colOff>
      <xdr:row>63</xdr:row>
      <xdr:rowOff>257175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492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126</xdr:row>
      <xdr:rowOff>57150</xdr:rowOff>
    </xdr:from>
    <xdr:to>
      <xdr:col>12</xdr:col>
      <xdr:colOff>357188</xdr:colOff>
      <xdr:row>126</xdr:row>
      <xdr:rowOff>257175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969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55</xdr:row>
      <xdr:rowOff>57150</xdr:rowOff>
    </xdr:from>
    <xdr:to>
      <xdr:col>12</xdr:col>
      <xdr:colOff>357188</xdr:colOff>
      <xdr:row>55</xdr:row>
      <xdr:rowOff>257175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940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56</xdr:row>
      <xdr:rowOff>57150</xdr:rowOff>
    </xdr:from>
    <xdr:to>
      <xdr:col>12</xdr:col>
      <xdr:colOff>357188</xdr:colOff>
      <xdr:row>56</xdr:row>
      <xdr:rowOff>257175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0883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181</xdr:row>
      <xdr:rowOff>57150</xdr:rowOff>
    </xdr:from>
    <xdr:to>
      <xdr:col>12</xdr:col>
      <xdr:colOff>357188</xdr:colOff>
      <xdr:row>181</xdr:row>
      <xdr:rowOff>257175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748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191</xdr:row>
      <xdr:rowOff>57150</xdr:rowOff>
    </xdr:from>
    <xdr:to>
      <xdr:col>12</xdr:col>
      <xdr:colOff>358046</xdr:colOff>
      <xdr:row>191</xdr:row>
      <xdr:rowOff>258750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128950"/>
          <a:ext cx="300896" cy="2016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193</xdr:row>
      <xdr:rowOff>57150</xdr:rowOff>
    </xdr:from>
    <xdr:to>
      <xdr:col>12</xdr:col>
      <xdr:colOff>358046</xdr:colOff>
      <xdr:row>193</xdr:row>
      <xdr:rowOff>258750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349900"/>
          <a:ext cx="300896" cy="2016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88</xdr:row>
      <xdr:rowOff>57150</xdr:rowOff>
    </xdr:from>
    <xdr:to>
      <xdr:col>12</xdr:col>
      <xdr:colOff>357188</xdr:colOff>
      <xdr:row>88</xdr:row>
      <xdr:rowOff>257175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477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172</xdr:row>
      <xdr:rowOff>57150</xdr:rowOff>
    </xdr:from>
    <xdr:to>
      <xdr:col>12</xdr:col>
      <xdr:colOff>357188</xdr:colOff>
      <xdr:row>172</xdr:row>
      <xdr:rowOff>257175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420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111</xdr:row>
      <xdr:rowOff>57150</xdr:rowOff>
    </xdr:from>
    <xdr:to>
      <xdr:col>12</xdr:col>
      <xdr:colOff>357188</xdr:colOff>
      <xdr:row>111</xdr:row>
      <xdr:rowOff>257175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743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147</xdr:row>
      <xdr:rowOff>57150</xdr:rowOff>
    </xdr:from>
    <xdr:to>
      <xdr:col>12</xdr:col>
      <xdr:colOff>357188</xdr:colOff>
      <xdr:row>147</xdr:row>
      <xdr:rowOff>257175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067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177</xdr:row>
      <xdr:rowOff>57150</xdr:rowOff>
    </xdr:from>
    <xdr:to>
      <xdr:col>12</xdr:col>
      <xdr:colOff>357188</xdr:colOff>
      <xdr:row>177</xdr:row>
      <xdr:rowOff>257175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783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123</xdr:row>
      <xdr:rowOff>57150</xdr:rowOff>
    </xdr:from>
    <xdr:to>
      <xdr:col>12</xdr:col>
      <xdr:colOff>357188</xdr:colOff>
      <xdr:row>123</xdr:row>
      <xdr:rowOff>257175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306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148</xdr:row>
      <xdr:rowOff>57150</xdr:rowOff>
    </xdr:from>
    <xdr:to>
      <xdr:col>12</xdr:col>
      <xdr:colOff>357188</xdr:colOff>
      <xdr:row>148</xdr:row>
      <xdr:rowOff>257175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3601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136</xdr:row>
      <xdr:rowOff>57150</xdr:rowOff>
    </xdr:from>
    <xdr:to>
      <xdr:col>12</xdr:col>
      <xdr:colOff>357188</xdr:colOff>
      <xdr:row>136</xdr:row>
      <xdr:rowOff>257175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431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84</xdr:row>
      <xdr:rowOff>57150</xdr:rowOff>
    </xdr:from>
    <xdr:to>
      <xdr:col>12</xdr:col>
      <xdr:colOff>357188</xdr:colOff>
      <xdr:row>84</xdr:row>
      <xdr:rowOff>257175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2993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132</xdr:row>
      <xdr:rowOff>57150</xdr:rowOff>
    </xdr:from>
    <xdr:to>
      <xdr:col>12</xdr:col>
      <xdr:colOff>357188</xdr:colOff>
      <xdr:row>132</xdr:row>
      <xdr:rowOff>257175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288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99</xdr:row>
      <xdr:rowOff>57150</xdr:rowOff>
    </xdr:from>
    <xdr:to>
      <xdr:col>12</xdr:col>
      <xdr:colOff>357188</xdr:colOff>
      <xdr:row>99</xdr:row>
      <xdr:rowOff>257175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612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169</xdr:row>
      <xdr:rowOff>57150</xdr:rowOff>
    </xdr:from>
    <xdr:to>
      <xdr:col>12</xdr:col>
      <xdr:colOff>357188</xdr:colOff>
      <xdr:row>169</xdr:row>
      <xdr:rowOff>257175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936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188</xdr:row>
      <xdr:rowOff>57150</xdr:rowOff>
    </xdr:from>
    <xdr:to>
      <xdr:col>12</xdr:col>
      <xdr:colOff>357188</xdr:colOff>
      <xdr:row>188</xdr:row>
      <xdr:rowOff>257175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794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145</xdr:row>
      <xdr:rowOff>57150</xdr:rowOff>
    </xdr:from>
    <xdr:to>
      <xdr:col>12</xdr:col>
      <xdr:colOff>357188</xdr:colOff>
      <xdr:row>145</xdr:row>
      <xdr:rowOff>257175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118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134</xdr:row>
      <xdr:rowOff>57150</xdr:rowOff>
    </xdr:from>
    <xdr:to>
      <xdr:col>12</xdr:col>
      <xdr:colOff>357188</xdr:colOff>
      <xdr:row>134</xdr:row>
      <xdr:rowOff>257175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441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178</xdr:row>
      <xdr:rowOff>57150</xdr:rowOff>
    </xdr:from>
    <xdr:to>
      <xdr:col>12</xdr:col>
      <xdr:colOff>357188</xdr:colOff>
      <xdr:row>178</xdr:row>
      <xdr:rowOff>257175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032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118</xdr:row>
      <xdr:rowOff>57150</xdr:rowOff>
    </xdr:from>
    <xdr:to>
      <xdr:col>12</xdr:col>
      <xdr:colOff>357188</xdr:colOff>
      <xdr:row>118</xdr:row>
      <xdr:rowOff>257175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680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78</xdr:row>
      <xdr:rowOff>57150</xdr:rowOff>
    </xdr:from>
    <xdr:to>
      <xdr:col>12</xdr:col>
      <xdr:colOff>357188</xdr:colOff>
      <xdr:row>78</xdr:row>
      <xdr:rowOff>257175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947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141</xdr:row>
      <xdr:rowOff>57150</xdr:rowOff>
    </xdr:from>
    <xdr:to>
      <xdr:col>12</xdr:col>
      <xdr:colOff>357188</xdr:colOff>
      <xdr:row>141</xdr:row>
      <xdr:rowOff>257175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242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165</xdr:row>
      <xdr:rowOff>57150</xdr:rowOff>
    </xdr:from>
    <xdr:to>
      <xdr:col>12</xdr:col>
      <xdr:colOff>357188</xdr:colOff>
      <xdr:row>165</xdr:row>
      <xdr:rowOff>257175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776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125</xdr:row>
      <xdr:rowOff>57150</xdr:rowOff>
    </xdr:from>
    <xdr:to>
      <xdr:col>12</xdr:col>
      <xdr:colOff>357188</xdr:colOff>
      <xdr:row>125</xdr:row>
      <xdr:rowOff>257175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015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175</xdr:row>
      <xdr:rowOff>57150</xdr:rowOff>
    </xdr:from>
    <xdr:to>
      <xdr:col>12</xdr:col>
      <xdr:colOff>357188</xdr:colOff>
      <xdr:row>175</xdr:row>
      <xdr:rowOff>257175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901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156</xdr:row>
      <xdr:rowOff>57150</xdr:rowOff>
    </xdr:from>
    <xdr:to>
      <xdr:col>12</xdr:col>
      <xdr:colOff>357188</xdr:colOff>
      <xdr:row>156</xdr:row>
      <xdr:rowOff>257175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054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87</xdr:row>
      <xdr:rowOff>57150</xdr:rowOff>
    </xdr:from>
    <xdr:to>
      <xdr:col>12</xdr:col>
      <xdr:colOff>357188</xdr:colOff>
      <xdr:row>87</xdr:row>
      <xdr:rowOff>257175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378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179</xdr:row>
      <xdr:rowOff>57150</xdr:rowOff>
    </xdr:from>
    <xdr:to>
      <xdr:col>12</xdr:col>
      <xdr:colOff>357188</xdr:colOff>
      <xdr:row>179</xdr:row>
      <xdr:rowOff>257175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702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133</xdr:row>
      <xdr:rowOff>57150</xdr:rowOff>
    </xdr:from>
    <xdr:to>
      <xdr:col>12</xdr:col>
      <xdr:colOff>357188</xdr:colOff>
      <xdr:row>133</xdr:row>
      <xdr:rowOff>257175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616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135</xdr:row>
      <xdr:rowOff>57150</xdr:rowOff>
    </xdr:from>
    <xdr:to>
      <xdr:col>12</xdr:col>
      <xdr:colOff>357188</xdr:colOff>
      <xdr:row>135</xdr:row>
      <xdr:rowOff>257175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630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185</xdr:row>
      <xdr:rowOff>57150</xdr:rowOff>
    </xdr:from>
    <xdr:to>
      <xdr:col>12</xdr:col>
      <xdr:colOff>357188</xdr:colOff>
      <xdr:row>185</xdr:row>
      <xdr:rowOff>257175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5220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180</xdr:row>
      <xdr:rowOff>57150</xdr:rowOff>
    </xdr:from>
    <xdr:to>
      <xdr:col>12</xdr:col>
      <xdr:colOff>357188</xdr:colOff>
      <xdr:row>180</xdr:row>
      <xdr:rowOff>257175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0481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174</xdr:row>
      <xdr:rowOff>57150</xdr:rowOff>
    </xdr:from>
    <xdr:to>
      <xdr:col>12</xdr:col>
      <xdr:colOff>357188</xdr:colOff>
      <xdr:row>174</xdr:row>
      <xdr:rowOff>257175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043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122</xdr:row>
      <xdr:rowOff>57150</xdr:rowOff>
    </xdr:from>
    <xdr:to>
      <xdr:col>12</xdr:col>
      <xdr:colOff>357188</xdr:colOff>
      <xdr:row>122</xdr:row>
      <xdr:rowOff>257175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103</xdr:row>
      <xdr:rowOff>57150</xdr:rowOff>
    </xdr:from>
    <xdr:to>
      <xdr:col>12</xdr:col>
      <xdr:colOff>357188</xdr:colOff>
      <xdr:row>103</xdr:row>
      <xdr:rowOff>257175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662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196</xdr:row>
      <xdr:rowOff>57150</xdr:rowOff>
    </xdr:from>
    <xdr:to>
      <xdr:col>12</xdr:col>
      <xdr:colOff>357188</xdr:colOff>
      <xdr:row>196</xdr:row>
      <xdr:rowOff>257175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6958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131</xdr:row>
      <xdr:rowOff>57150</xdr:rowOff>
    </xdr:from>
    <xdr:to>
      <xdr:col>12</xdr:col>
      <xdr:colOff>357188</xdr:colOff>
      <xdr:row>131</xdr:row>
      <xdr:rowOff>257175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65</xdr:row>
      <xdr:rowOff>57150</xdr:rowOff>
    </xdr:from>
    <xdr:to>
      <xdr:col>12</xdr:col>
      <xdr:colOff>357188</xdr:colOff>
      <xdr:row>65</xdr:row>
      <xdr:rowOff>257175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38500"/>
          <a:ext cx="300038" cy="200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21</xdr:row>
      <xdr:rowOff>28574</xdr:rowOff>
    </xdr:from>
    <xdr:to>
      <xdr:col>3</xdr:col>
      <xdr:colOff>617417</xdr:colOff>
      <xdr:row>30</xdr:row>
      <xdr:rowOff>133350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3543299"/>
          <a:ext cx="2503368" cy="156210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5</xdr:col>
      <xdr:colOff>28573</xdr:colOff>
      <xdr:row>21</xdr:row>
      <xdr:rowOff>26029</xdr:rowOff>
    </xdr:from>
    <xdr:to>
      <xdr:col>8</xdr:col>
      <xdr:colOff>622741</xdr:colOff>
      <xdr:row>30</xdr:row>
      <xdr:rowOff>133349</xdr:rowOff>
    </xdr:to>
    <xdr:pic>
      <xdr:nvPicPr>
        <xdr:cNvPr id="3" name="Pictur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8" y="3540754"/>
          <a:ext cx="2508693" cy="156464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742950</xdr:colOff>
      <xdr:row>8</xdr:row>
      <xdr:rowOff>66675</xdr:rowOff>
    </xdr:from>
    <xdr:to>
      <xdr:col>15</xdr:col>
      <xdr:colOff>352425</xdr:colOff>
      <xdr:row>11</xdr:row>
      <xdr:rowOff>66675</xdr:rowOff>
    </xdr:to>
    <xdr:pic>
      <xdr:nvPicPr>
        <xdr:cNvPr id="112115" name="WordArt 70">
          <a:extLst>
            <a:ext uri="{FF2B5EF4-FFF2-40B4-BE49-F238E27FC236}">
              <a16:creationId xmlns:a16="http://schemas.microsoft.com/office/drawing/2014/main" id="{00000000-0008-0000-0400-0000F3B501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150" y="1352550"/>
          <a:ext cx="1924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371475</xdr:colOff>
      <xdr:row>9</xdr:row>
      <xdr:rowOff>28575</xdr:rowOff>
    </xdr:to>
    <xdr:pic>
      <xdr:nvPicPr>
        <xdr:cNvPr id="112116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F4B5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323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</xdr:colOff>
      <xdr:row>3</xdr:row>
      <xdr:rowOff>76200</xdr:rowOff>
    </xdr:from>
    <xdr:to>
      <xdr:col>10</xdr:col>
      <xdr:colOff>333375</xdr:colOff>
      <xdr:row>9</xdr:row>
      <xdr:rowOff>57150</xdr:rowOff>
    </xdr:to>
    <xdr:pic macro="[0]!SortStandings">
      <xdr:nvPicPr>
        <xdr:cNvPr id="112117" name="Picture 136">
          <a:extLst>
            <a:ext uri="{FF2B5EF4-FFF2-40B4-BE49-F238E27FC236}">
              <a16:creationId xmlns:a16="http://schemas.microsoft.com/office/drawing/2014/main" id="{00000000-0008-0000-0400-0000F5B5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581025"/>
          <a:ext cx="323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190500</xdr:colOff>
      <xdr:row>16</xdr:row>
      <xdr:rowOff>0</xdr:rowOff>
    </xdr:from>
    <xdr:to>
      <xdr:col>8</xdr:col>
      <xdr:colOff>38100</xdr:colOff>
      <xdr:row>31</xdr:row>
      <xdr:rowOff>38100</xdr:rowOff>
    </xdr:to>
    <xdr:pic>
      <xdr:nvPicPr>
        <xdr:cNvPr id="112118" name="Picture 201">
          <a:extLst>
            <a:ext uri="{FF2B5EF4-FFF2-40B4-BE49-F238E27FC236}">
              <a16:creationId xmlns:a16="http://schemas.microsoft.com/office/drawing/2014/main" id="{00000000-0008-0000-0400-0000F6B5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2047875"/>
          <a:ext cx="1562100" cy="272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15</xdr:row>
      <xdr:rowOff>76200</xdr:rowOff>
    </xdr:from>
    <xdr:to>
      <xdr:col>36</xdr:col>
      <xdr:colOff>133350</xdr:colOff>
      <xdr:row>31</xdr:row>
      <xdr:rowOff>19050</xdr:rowOff>
    </xdr:to>
    <xdr:pic>
      <xdr:nvPicPr>
        <xdr:cNvPr id="112119" name="Picture 202">
          <a:extLst>
            <a:ext uri="{FF2B5EF4-FFF2-40B4-BE49-F238E27FC236}">
              <a16:creationId xmlns:a16="http://schemas.microsoft.com/office/drawing/2014/main" id="{00000000-0008-0000-0400-0000F7B5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0" y="2028825"/>
          <a:ext cx="1562100" cy="272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esktop/wc2022/summ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"/>
      <sheetName val="STATS"/>
      <sheetName val="STATS (2)"/>
      <sheetName val="Participants"/>
      <sheetName val="Matches"/>
      <sheetName val="AVERAGE"/>
      <sheetName val="Bracket"/>
      <sheetName val="Upcoming"/>
      <sheetName val="Upcoming (2)"/>
      <sheetName val="POINTSYSTEM"/>
      <sheetName val="TEST(Nuno)"/>
      <sheetName val="Nuno"/>
      <sheetName val="Franco"/>
      <sheetName val="DerekD"/>
      <sheetName val="RobW"/>
      <sheetName val="RobertP"/>
      <sheetName val="PeterM"/>
      <sheetName val="DanielM"/>
      <sheetName val="Aaron1"/>
      <sheetName val="Aban"/>
      <sheetName val="Alex"/>
      <sheetName val="Alice"/>
      <sheetName val="Ana"/>
      <sheetName val="Jake"/>
      <sheetName val="Angelo"/>
      <sheetName val="Antonio"/>
      <sheetName val="Arturo"/>
      <sheetName val="Ash"/>
      <sheetName val="KevinC"/>
      <sheetName val="Augie"/>
      <sheetName val="Tom"/>
      <sheetName val="Baffour"/>
      <sheetName val="Balbir"/>
      <sheetName val="Bert"/>
      <sheetName val="Brendan"/>
      <sheetName val="CarlosG"/>
      <sheetName val="Caroline"/>
      <sheetName val="ChrisF"/>
      <sheetName val="ChrisK"/>
      <sheetName val="ChrisP"/>
      <sheetName val="Rousse"/>
      <sheetName val="Chrissy"/>
      <sheetName val="Corey"/>
      <sheetName val="Daisy"/>
      <sheetName val="Damian"/>
      <sheetName val="DannyL1"/>
      <sheetName val="DannyL2"/>
      <sheetName val="DannyL3"/>
      <sheetName val="DannyRa"/>
      <sheetName val="Darryll"/>
      <sheetName val="Daryl"/>
      <sheetName val="Dashiel"/>
      <sheetName val="DavidD"/>
      <sheetName val="DavidM"/>
      <sheetName val="Joanna"/>
      <sheetName val="DougM"/>
      <sheetName val="Dragon"/>
      <sheetName val="Edsel"/>
      <sheetName val="Eduardo"/>
      <sheetName val="EdwardL"/>
      <sheetName val="EdwardT"/>
      <sheetName val="Elizabeth"/>
      <sheetName val="EricK"/>
      <sheetName val="Fawzi"/>
      <sheetName val="Fernando"/>
      <sheetName val="Forbes"/>
      <sheetName val="FrankC"/>
      <sheetName val="FrankD1"/>
      <sheetName val="FrankD2"/>
      <sheetName val="FrankI"/>
      <sheetName val="Gabriela"/>
      <sheetName val="Gary"/>
      <sheetName val="Grosso"/>
      <sheetName val="Gustavo"/>
      <sheetName val="Heather"/>
      <sheetName val="HelderA"/>
      <sheetName val="Helio"/>
      <sheetName val="Hernani"/>
      <sheetName val="Hugo"/>
      <sheetName val="Ian"/>
      <sheetName val="Igor"/>
      <sheetName val="James"/>
      <sheetName val="Janelle"/>
      <sheetName val="Jeannette"/>
      <sheetName val="JeffB"/>
      <sheetName val="Jennifer"/>
      <sheetName val="Joao"/>
      <sheetName val="JohnC"/>
      <sheetName val="JohnR"/>
      <sheetName val="JorgeC"/>
      <sheetName val="JorgeT"/>
      <sheetName val="JustinL"/>
      <sheetName val="KevinJ"/>
      <sheetName val="Kristian"/>
      <sheetName val="Kumar"/>
      <sheetName val="Kyle"/>
      <sheetName val="LiamM"/>
      <sheetName val="Lindsey"/>
      <sheetName val="Luka"/>
      <sheetName val="Magno"/>
      <sheetName val="Major"/>
      <sheetName val="Manley"/>
      <sheetName val="Manny"/>
      <sheetName val="Marcio"/>
      <sheetName val="Maria"/>
      <sheetName val="Marta"/>
      <sheetName val="MatthewM"/>
      <sheetName val="MichaelP"/>
      <sheetName val="MikeD"/>
      <sheetName val="Mitchell"/>
      <sheetName val="Nancy"/>
      <sheetName val="Nas"/>
      <sheetName val="NelsonP"/>
      <sheetName val="Nicole"/>
      <sheetName val="PabloL"/>
      <sheetName val="Pardeep"/>
      <sheetName val="Stirling"/>
      <sheetName val="PaulC"/>
      <sheetName val="Pedro"/>
      <sheetName val="PeterB"/>
      <sheetName val="Razi"/>
      <sheetName val="RichardMa1"/>
      <sheetName val="RichardMa2"/>
      <sheetName val="Rita"/>
      <sheetName val="Riyad"/>
      <sheetName val="RobertS"/>
      <sheetName val="RobSi"/>
      <sheetName val="RobT"/>
      <sheetName val="RD22"/>
      <sheetName val="Santiago"/>
      <sheetName val="Sean"/>
      <sheetName val="Shawn1"/>
      <sheetName val="Stallone1"/>
      <sheetName val="Stallone2"/>
      <sheetName val="Stan"/>
      <sheetName val="Tanya"/>
      <sheetName val="Teresa"/>
      <sheetName val="Isaac"/>
      <sheetName val="TonyH"/>
      <sheetName val="TonyM"/>
      <sheetName val="TonyS"/>
      <sheetName val="Trevor"/>
      <sheetName val="Tristan"/>
      <sheetName val="Vicki"/>
      <sheetName val="Rachel"/>
      <sheetName val="JeffS"/>
      <sheetName val="Carmen"/>
      <sheetName val="Josh"/>
      <sheetName val="Roger"/>
      <sheetName val="Michele"/>
      <sheetName val="DinoG"/>
      <sheetName val="JustinD"/>
      <sheetName val="Victer"/>
      <sheetName val="Jimmy"/>
      <sheetName val="KevinS"/>
      <sheetName val="Soni"/>
      <sheetName val="Sher"/>
      <sheetName val="Fabiola"/>
      <sheetName val="LiamF"/>
      <sheetName val="CMD88"/>
      <sheetName val="Rick"/>
      <sheetName val="Angel"/>
      <sheetName val="Alnashir"/>
      <sheetName val="Scotty"/>
      <sheetName val="Ishaque"/>
      <sheetName val="Preto1"/>
      <sheetName val="Preto2"/>
      <sheetName val="Wilson"/>
      <sheetName val="Gavin"/>
      <sheetName val="Ken"/>
      <sheetName val="Michiel"/>
      <sheetName val="Cameron"/>
      <sheetName val="Mugwe"/>
      <sheetName val="Aaron2"/>
      <sheetName val="Simon"/>
      <sheetName val="Yuri"/>
      <sheetName val="Shawn2"/>
      <sheetName val="StevenT"/>
      <sheetName val="Sameer"/>
      <sheetName val="RobV"/>
      <sheetName val="Julian"/>
      <sheetName val="Tanmay"/>
      <sheetName val="Avix"/>
      <sheetName val="DougK"/>
      <sheetName val="MichaelL"/>
      <sheetName val="MatthewS1"/>
      <sheetName val="MatthewS2"/>
      <sheetName val="MatthewS3"/>
      <sheetName val="Ricardo"/>
      <sheetName val="Veejay"/>
      <sheetName val="MichaelM"/>
      <sheetName val="Din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 t="str">
            <v>A</v>
          </cell>
          <cell r="C2" t="str">
            <v>F</v>
          </cell>
          <cell r="D2" t="e">
            <v>#N/A</v>
          </cell>
          <cell r="E2" t="e">
            <v>#N/A</v>
          </cell>
          <cell r="F2" t="e">
            <v>#N/A</v>
          </cell>
          <cell r="G2" t="e">
            <v>#N/A</v>
          </cell>
          <cell r="H2" t="e">
            <v>#N/A</v>
          </cell>
          <cell r="I2" t="e">
            <v>#N/A</v>
          </cell>
        </row>
        <row r="3">
          <cell r="B3" t="str">
            <v>R</v>
          </cell>
          <cell r="C3" t="str">
            <v>R</v>
          </cell>
          <cell r="D3" t="e">
            <v>#N/A</v>
          </cell>
          <cell r="E3" t="e">
            <v>#N/A</v>
          </cell>
          <cell r="F3" t="e">
            <v>#N/A</v>
          </cell>
          <cell r="G3" t="e">
            <v>#N/A</v>
          </cell>
          <cell r="H3" t="e">
            <v>#N/A</v>
          </cell>
          <cell r="I3" t="e">
            <v>#N/A</v>
          </cell>
        </row>
        <row r="4">
          <cell r="B4" t="str">
            <v>G</v>
          </cell>
          <cell r="C4" t="str">
            <v>A</v>
          </cell>
          <cell r="D4" t="e">
            <v>#N/A</v>
          </cell>
          <cell r="E4" t="e">
            <v>#N/A</v>
          </cell>
          <cell r="F4" t="e">
            <v>#N/A</v>
          </cell>
          <cell r="G4" t="e">
            <v>#N/A</v>
          </cell>
          <cell r="H4" t="e">
            <v>#N/A</v>
          </cell>
          <cell r="I4" t="e">
            <v>#N/A</v>
          </cell>
        </row>
        <row r="5">
          <cell r="A5" t="str">
            <v>Aban</v>
          </cell>
          <cell r="B5" t="str">
            <v/>
          </cell>
          <cell r="C5" t="str">
            <v/>
          </cell>
        </row>
        <row r="6">
          <cell r="A6" t="str">
            <v>Aaron1</v>
          </cell>
          <cell r="B6" t="str">
            <v/>
          </cell>
          <cell r="C6" t="str">
            <v/>
          </cell>
        </row>
        <row r="7">
          <cell r="A7" t="str">
            <v>Aaron2</v>
          </cell>
          <cell r="B7">
            <v>2</v>
          </cell>
          <cell r="C7">
            <v>4</v>
          </cell>
        </row>
        <row r="8">
          <cell r="A8" t="str">
            <v>Alex</v>
          </cell>
          <cell r="B8" t="str">
            <v/>
          </cell>
          <cell r="C8" t="str">
            <v/>
          </cell>
        </row>
        <row r="9">
          <cell r="A9" t="str">
            <v>Alice</v>
          </cell>
          <cell r="B9" t="str">
            <v/>
          </cell>
          <cell r="C9" t="str">
            <v/>
          </cell>
        </row>
        <row r="10">
          <cell r="A10" t="str">
            <v>Alnashir</v>
          </cell>
          <cell r="B10">
            <v>2</v>
          </cell>
          <cell r="C10">
            <v>1</v>
          </cell>
        </row>
        <row r="11">
          <cell r="A11" t="str">
            <v>Ana</v>
          </cell>
          <cell r="B11" t="str">
            <v/>
          </cell>
          <cell r="C11" t="str">
            <v/>
          </cell>
        </row>
        <row r="12">
          <cell r="A12" t="str">
            <v>Angel</v>
          </cell>
          <cell r="B12" t="str">
            <v/>
          </cell>
          <cell r="C12" t="str">
            <v/>
          </cell>
        </row>
        <row r="13">
          <cell r="A13" t="str">
            <v>Angelo</v>
          </cell>
          <cell r="B13">
            <v>1</v>
          </cell>
          <cell r="C13">
            <v>1</v>
          </cell>
        </row>
        <row r="14">
          <cell r="A14" t="str">
            <v>Antonio</v>
          </cell>
          <cell r="B14" t="str">
            <v/>
          </cell>
          <cell r="C14" t="str">
            <v/>
          </cell>
        </row>
        <row r="15">
          <cell r="A15" t="str">
            <v>Arturo</v>
          </cell>
          <cell r="B15" t="str">
            <v/>
          </cell>
          <cell r="C15" t="str">
            <v/>
          </cell>
        </row>
        <row r="16">
          <cell r="A16" t="str">
            <v>Ash</v>
          </cell>
          <cell r="B16" t="str">
            <v/>
          </cell>
          <cell r="C16" t="str">
            <v/>
          </cell>
        </row>
        <row r="17">
          <cell r="A17" t="str">
            <v>Augie</v>
          </cell>
          <cell r="B17" t="str">
            <v/>
          </cell>
          <cell r="C17" t="str">
            <v/>
          </cell>
        </row>
        <row r="18">
          <cell r="A18" t="str">
            <v>Avix</v>
          </cell>
          <cell r="B18" t="str">
            <v/>
          </cell>
          <cell r="C18" t="str">
            <v/>
          </cell>
        </row>
        <row r="19">
          <cell r="A19" t="str">
            <v>Baffour</v>
          </cell>
          <cell r="B19" t="str">
            <v/>
          </cell>
          <cell r="C19" t="str">
            <v/>
          </cell>
        </row>
        <row r="20">
          <cell r="A20" t="str">
            <v>Balbir</v>
          </cell>
          <cell r="B20" t="str">
            <v/>
          </cell>
          <cell r="C20" t="str">
            <v/>
          </cell>
        </row>
        <row r="21">
          <cell r="A21" t="str">
            <v>Bert</v>
          </cell>
          <cell r="B21" t="str">
            <v/>
          </cell>
          <cell r="C21" t="str">
            <v/>
          </cell>
        </row>
        <row r="22">
          <cell r="A22" t="str">
            <v>Brendan</v>
          </cell>
          <cell r="B22" t="str">
            <v/>
          </cell>
          <cell r="C22" t="str">
            <v/>
          </cell>
        </row>
        <row r="23">
          <cell r="A23" t="str">
            <v>Cameron</v>
          </cell>
          <cell r="B23" t="str">
            <v/>
          </cell>
          <cell r="C23" t="str">
            <v/>
          </cell>
        </row>
        <row r="24">
          <cell r="A24" t="str">
            <v>CarlosG</v>
          </cell>
          <cell r="B24" t="str">
            <v/>
          </cell>
          <cell r="C24" t="str">
            <v/>
          </cell>
        </row>
        <row r="25">
          <cell r="A25" t="str">
            <v>Carmen</v>
          </cell>
          <cell r="B25" t="str">
            <v/>
          </cell>
          <cell r="C25" t="str">
            <v/>
          </cell>
        </row>
        <row r="26">
          <cell r="A26" t="str">
            <v>Caroline</v>
          </cell>
          <cell r="B26" t="str">
            <v/>
          </cell>
          <cell r="C26" t="str">
            <v/>
          </cell>
        </row>
        <row r="27">
          <cell r="A27" t="str">
            <v>ChrisF</v>
          </cell>
          <cell r="B27" t="str">
            <v/>
          </cell>
          <cell r="C27" t="str">
            <v/>
          </cell>
        </row>
        <row r="28">
          <cell r="A28" t="str">
            <v>ChrisK</v>
          </cell>
          <cell r="B28" t="str">
            <v/>
          </cell>
          <cell r="C28" t="str">
            <v/>
          </cell>
        </row>
        <row r="29">
          <cell r="A29" t="str">
            <v>ChrisP</v>
          </cell>
          <cell r="B29" t="str">
            <v/>
          </cell>
          <cell r="C29" t="str">
            <v/>
          </cell>
        </row>
        <row r="30">
          <cell r="A30" t="str">
            <v>Chrissy</v>
          </cell>
          <cell r="B30" t="str">
            <v/>
          </cell>
          <cell r="C30" t="str">
            <v/>
          </cell>
        </row>
        <row r="31">
          <cell r="A31" t="str">
            <v>CMD88</v>
          </cell>
          <cell r="B31">
            <v>1</v>
          </cell>
          <cell r="C31">
            <v>0</v>
          </cell>
        </row>
        <row r="32">
          <cell r="A32" t="str">
            <v>Corey</v>
          </cell>
          <cell r="B32" t="str">
            <v/>
          </cell>
          <cell r="C32" t="str">
            <v/>
          </cell>
        </row>
        <row r="33">
          <cell r="A33" t="str">
            <v>Daisy</v>
          </cell>
          <cell r="B33" t="str">
            <v/>
          </cell>
          <cell r="C33" t="str">
            <v/>
          </cell>
        </row>
        <row r="34">
          <cell r="A34" t="str">
            <v>Damian</v>
          </cell>
          <cell r="B34" t="str">
            <v/>
          </cell>
          <cell r="C34" t="str">
            <v/>
          </cell>
        </row>
        <row r="35">
          <cell r="A35" t="str">
            <v>DanielM</v>
          </cell>
          <cell r="B35" t="str">
            <v/>
          </cell>
          <cell r="C35" t="str">
            <v/>
          </cell>
        </row>
        <row r="36">
          <cell r="A36" t="str">
            <v>DannyL1</v>
          </cell>
          <cell r="B36" t="str">
            <v/>
          </cell>
          <cell r="C36" t="str">
            <v/>
          </cell>
        </row>
        <row r="37">
          <cell r="A37" t="str">
            <v>DannyL2</v>
          </cell>
          <cell r="B37" t="str">
            <v/>
          </cell>
          <cell r="C37" t="str">
            <v/>
          </cell>
        </row>
        <row r="38">
          <cell r="A38" t="str">
            <v>DannyL3</v>
          </cell>
          <cell r="B38" t="str">
            <v/>
          </cell>
          <cell r="C38" t="str">
            <v/>
          </cell>
        </row>
        <row r="39">
          <cell r="A39" t="str">
            <v>DannyRa</v>
          </cell>
          <cell r="B39" t="str">
            <v/>
          </cell>
          <cell r="C39" t="str">
            <v/>
          </cell>
        </row>
        <row r="40">
          <cell r="A40" t="str">
            <v>Darryll</v>
          </cell>
          <cell r="B40" t="str">
            <v/>
          </cell>
          <cell r="C40" t="str">
            <v/>
          </cell>
        </row>
        <row r="41">
          <cell r="A41" t="str">
            <v>Daryl</v>
          </cell>
          <cell r="B41" t="str">
            <v/>
          </cell>
          <cell r="C41" t="str">
            <v/>
          </cell>
        </row>
        <row r="42">
          <cell r="A42" t="str">
            <v>Dashiel</v>
          </cell>
          <cell r="B42" t="str">
            <v/>
          </cell>
          <cell r="C42" t="str">
            <v/>
          </cell>
        </row>
        <row r="43">
          <cell r="A43" t="str">
            <v>DavidD</v>
          </cell>
          <cell r="B43" t="str">
            <v/>
          </cell>
          <cell r="C43" t="str">
            <v/>
          </cell>
        </row>
        <row r="44">
          <cell r="A44" t="str">
            <v>DavidM</v>
          </cell>
          <cell r="B44" t="str">
            <v/>
          </cell>
          <cell r="C44" t="str">
            <v/>
          </cell>
        </row>
        <row r="45">
          <cell r="A45" t="str">
            <v>DerekD</v>
          </cell>
          <cell r="B45" t="str">
            <v/>
          </cell>
          <cell r="C45" t="str">
            <v/>
          </cell>
        </row>
        <row r="46">
          <cell r="A46" t="str">
            <v>DinoD</v>
          </cell>
          <cell r="B46" t="str">
            <v/>
          </cell>
          <cell r="C46" t="str">
            <v/>
          </cell>
        </row>
        <row r="47">
          <cell r="A47" t="str">
            <v>DinoG</v>
          </cell>
          <cell r="B47" t="str">
            <v/>
          </cell>
          <cell r="C47" t="str">
            <v/>
          </cell>
        </row>
        <row r="48">
          <cell r="A48" t="str">
            <v>DougK</v>
          </cell>
          <cell r="B48" t="str">
            <v/>
          </cell>
          <cell r="C48" t="str">
            <v/>
          </cell>
        </row>
        <row r="49">
          <cell r="A49" t="str">
            <v>DougM</v>
          </cell>
          <cell r="B49">
            <v>1</v>
          </cell>
          <cell r="C49">
            <v>2</v>
          </cell>
        </row>
        <row r="50">
          <cell r="A50" t="str">
            <v>Dragon</v>
          </cell>
          <cell r="B50" t="str">
            <v/>
          </cell>
          <cell r="C50" t="str">
            <v/>
          </cell>
        </row>
        <row r="51">
          <cell r="A51" t="str">
            <v>Edsel</v>
          </cell>
          <cell r="B51" t="str">
            <v/>
          </cell>
          <cell r="C51" t="str">
            <v/>
          </cell>
        </row>
        <row r="52">
          <cell r="A52" t="str">
            <v>Eduardo</v>
          </cell>
          <cell r="B52" t="str">
            <v/>
          </cell>
          <cell r="C52" t="str">
            <v/>
          </cell>
        </row>
        <row r="53">
          <cell r="A53" t="str">
            <v>EdwardL</v>
          </cell>
          <cell r="B53" t="str">
            <v/>
          </cell>
          <cell r="C53" t="str">
            <v/>
          </cell>
        </row>
        <row r="54">
          <cell r="A54" t="str">
            <v>EdwardT</v>
          </cell>
          <cell r="B54" t="str">
            <v/>
          </cell>
          <cell r="C54" t="str">
            <v/>
          </cell>
        </row>
        <row r="55">
          <cell r="A55" t="str">
            <v>Elizabeth</v>
          </cell>
          <cell r="B55" t="str">
            <v/>
          </cell>
          <cell r="C55" t="str">
            <v/>
          </cell>
        </row>
        <row r="56">
          <cell r="A56" t="str">
            <v>EricK</v>
          </cell>
          <cell r="B56" t="str">
            <v/>
          </cell>
          <cell r="C56" t="str">
            <v/>
          </cell>
        </row>
        <row r="57">
          <cell r="A57" t="str">
            <v>Fabiola</v>
          </cell>
          <cell r="B57" t="str">
            <v/>
          </cell>
          <cell r="C57" t="str">
            <v/>
          </cell>
        </row>
        <row r="58">
          <cell r="A58" t="str">
            <v>Fawzi</v>
          </cell>
          <cell r="B58" t="str">
            <v/>
          </cell>
          <cell r="C58" t="str">
            <v/>
          </cell>
        </row>
        <row r="59">
          <cell r="A59" t="str">
            <v>Fernando</v>
          </cell>
          <cell r="B59" t="str">
            <v/>
          </cell>
          <cell r="C59" t="str">
            <v/>
          </cell>
        </row>
        <row r="60">
          <cell r="A60" t="str">
            <v>Forbes</v>
          </cell>
          <cell r="B60" t="str">
            <v/>
          </cell>
          <cell r="C60" t="str">
            <v/>
          </cell>
        </row>
        <row r="61">
          <cell r="A61" t="str">
            <v>Franco</v>
          </cell>
          <cell r="B61">
            <v>1</v>
          </cell>
          <cell r="C61">
            <v>2</v>
          </cell>
        </row>
        <row r="62">
          <cell r="A62" t="str">
            <v>FrankC</v>
          </cell>
          <cell r="B62">
            <v>2</v>
          </cell>
          <cell r="C62">
            <v>1</v>
          </cell>
        </row>
        <row r="63">
          <cell r="A63" t="str">
            <v>FrankD1</v>
          </cell>
          <cell r="B63" t="str">
            <v/>
          </cell>
          <cell r="C63" t="str">
            <v/>
          </cell>
        </row>
        <row r="64">
          <cell r="A64" t="str">
            <v>FrankD2</v>
          </cell>
          <cell r="B64" t="str">
            <v/>
          </cell>
          <cell r="C64" t="str">
            <v/>
          </cell>
        </row>
        <row r="65">
          <cell r="A65" t="str">
            <v>FrankI</v>
          </cell>
          <cell r="B65" t="str">
            <v/>
          </cell>
          <cell r="C65" t="str">
            <v/>
          </cell>
        </row>
        <row r="66">
          <cell r="A66" t="str">
            <v>Gabriela</v>
          </cell>
          <cell r="B66" t="str">
            <v/>
          </cell>
          <cell r="C66" t="str">
            <v/>
          </cell>
        </row>
        <row r="67">
          <cell r="A67" t="str">
            <v>Gary</v>
          </cell>
          <cell r="B67">
            <v>2</v>
          </cell>
          <cell r="C67">
            <v>1</v>
          </cell>
        </row>
        <row r="68">
          <cell r="A68" t="str">
            <v>Gavin</v>
          </cell>
          <cell r="B68" t="str">
            <v/>
          </cell>
          <cell r="C68" t="str">
            <v/>
          </cell>
        </row>
        <row r="69">
          <cell r="A69" t="str">
            <v>Grosso</v>
          </cell>
          <cell r="B69" t="str">
            <v/>
          </cell>
          <cell r="C69" t="str">
            <v/>
          </cell>
        </row>
        <row r="70">
          <cell r="A70" t="str">
            <v>Gustavo</v>
          </cell>
          <cell r="B70" t="str">
            <v/>
          </cell>
          <cell r="C70" t="str">
            <v/>
          </cell>
        </row>
        <row r="71">
          <cell r="A71" t="str">
            <v>Heather</v>
          </cell>
          <cell r="B71" t="str">
            <v/>
          </cell>
          <cell r="C71" t="str">
            <v/>
          </cell>
        </row>
        <row r="72">
          <cell r="A72" t="str">
            <v>HelderA</v>
          </cell>
          <cell r="B72" t="str">
            <v/>
          </cell>
          <cell r="C72" t="str">
            <v/>
          </cell>
        </row>
        <row r="73">
          <cell r="A73" t="str">
            <v>Helio</v>
          </cell>
          <cell r="B73" t="str">
            <v/>
          </cell>
          <cell r="C73" t="str">
            <v/>
          </cell>
        </row>
        <row r="74">
          <cell r="A74" t="str">
            <v>Hernani</v>
          </cell>
          <cell r="B74" t="str">
            <v/>
          </cell>
          <cell r="C74" t="str">
            <v/>
          </cell>
        </row>
        <row r="75">
          <cell r="A75" t="str">
            <v>Hugo</v>
          </cell>
          <cell r="B75" t="str">
            <v/>
          </cell>
          <cell r="C75" t="str">
            <v/>
          </cell>
        </row>
        <row r="76">
          <cell r="A76" t="str">
            <v>Ian</v>
          </cell>
          <cell r="B76" t="str">
            <v/>
          </cell>
          <cell r="C76" t="str">
            <v/>
          </cell>
        </row>
        <row r="77">
          <cell r="A77" t="str">
            <v>Igor</v>
          </cell>
          <cell r="B77">
            <v>2</v>
          </cell>
          <cell r="C77">
            <v>1</v>
          </cell>
        </row>
        <row r="78">
          <cell r="A78" t="str">
            <v>Isaac</v>
          </cell>
          <cell r="B78" t="str">
            <v/>
          </cell>
          <cell r="C78" t="str">
            <v/>
          </cell>
        </row>
        <row r="79">
          <cell r="A79" t="str">
            <v>Ishaque</v>
          </cell>
          <cell r="B79" t="str">
            <v/>
          </cell>
          <cell r="C79" t="str">
            <v/>
          </cell>
        </row>
        <row r="80">
          <cell r="A80" t="str">
            <v>Jake</v>
          </cell>
          <cell r="B80">
            <v>0</v>
          </cell>
          <cell r="C80">
            <v>1</v>
          </cell>
        </row>
        <row r="81">
          <cell r="A81" t="str">
            <v>James</v>
          </cell>
          <cell r="B81" t="str">
            <v/>
          </cell>
          <cell r="C81" t="str">
            <v/>
          </cell>
        </row>
        <row r="82">
          <cell r="A82" t="str">
            <v>Janelle</v>
          </cell>
          <cell r="B82" t="str">
            <v/>
          </cell>
          <cell r="C82" t="str">
            <v/>
          </cell>
        </row>
        <row r="83">
          <cell r="A83" t="str">
            <v>Jeannette</v>
          </cell>
          <cell r="B83" t="str">
            <v/>
          </cell>
          <cell r="C83" t="str">
            <v/>
          </cell>
        </row>
        <row r="84">
          <cell r="A84" t="str">
            <v>JeffB</v>
          </cell>
          <cell r="B84" t="str">
            <v/>
          </cell>
          <cell r="C84" t="str">
            <v/>
          </cell>
        </row>
        <row r="85">
          <cell r="A85" t="str">
            <v>JeffS</v>
          </cell>
          <cell r="B85" t="str">
            <v/>
          </cell>
          <cell r="C85" t="str">
            <v/>
          </cell>
        </row>
        <row r="86">
          <cell r="A86" t="str">
            <v>Jennifer</v>
          </cell>
          <cell r="B86" t="str">
            <v/>
          </cell>
          <cell r="C86" t="str">
            <v/>
          </cell>
        </row>
        <row r="87">
          <cell r="A87" t="str">
            <v>Jimmy</v>
          </cell>
          <cell r="B87" t="str">
            <v/>
          </cell>
          <cell r="C87" t="str">
            <v/>
          </cell>
        </row>
        <row r="88">
          <cell r="A88" t="str">
            <v>Joanna</v>
          </cell>
          <cell r="B88" t="str">
            <v/>
          </cell>
          <cell r="C88" t="str">
            <v/>
          </cell>
        </row>
        <row r="89">
          <cell r="A89" t="str">
            <v>Joao</v>
          </cell>
          <cell r="B89" t="str">
            <v/>
          </cell>
          <cell r="C89" t="str">
            <v/>
          </cell>
        </row>
        <row r="90">
          <cell r="A90" t="str">
            <v>JohnC</v>
          </cell>
          <cell r="B90" t="str">
            <v/>
          </cell>
          <cell r="C90" t="str">
            <v/>
          </cell>
        </row>
        <row r="91">
          <cell r="A91" t="str">
            <v>JohnR</v>
          </cell>
          <cell r="B91" t="str">
            <v/>
          </cell>
          <cell r="C91" t="str">
            <v/>
          </cell>
        </row>
        <row r="92">
          <cell r="A92" t="str">
            <v>JorgeC</v>
          </cell>
          <cell r="B92" t="str">
            <v/>
          </cell>
          <cell r="C92" t="str">
            <v/>
          </cell>
        </row>
        <row r="93">
          <cell r="A93" t="str">
            <v>JorgeT</v>
          </cell>
          <cell r="B93" t="str">
            <v/>
          </cell>
          <cell r="C93" t="str">
            <v/>
          </cell>
        </row>
        <row r="94">
          <cell r="A94" t="str">
            <v>Josh</v>
          </cell>
          <cell r="B94" t="str">
            <v/>
          </cell>
          <cell r="C94" t="str">
            <v/>
          </cell>
        </row>
        <row r="95">
          <cell r="A95" t="str">
            <v>Julian</v>
          </cell>
          <cell r="B95" t="str">
            <v/>
          </cell>
          <cell r="C95" t="str">
            <v/>
          </cell>
        </row>
        <row r="96">
          <cell r="A96" t="str">
            <v>JustinD</v>
          </cell>
          <cell r="B96" t="str">
            <v/>
          </cell>
          <cell r="C96" t="str">
            <v/>
          </cell>
        </row>
        <row r="97">
          <cell r="A97" t="str">
            <v>JustinL</v>
          </cell>
          <cell r="B97" t="str">
            <v/>
          </cell>
          <cell r="C97" t="str">
            <v/>
          </cell>
        </row>
        <row r="98">
          <cell r="A98" t="str">
            <v>Ken</v>
          </cell>
          <cell r="B98" t="str">
            <v/>
          </cell>
          <cell r="C98" t="str">
            <v/>
          </cell>
        </row>
        <row r="99">
          <cell r="A99" t="str">
            <v>KevinC</v>
          </cell>
          <cell r="B99" t="str">
            <v/>
          </cell>
          <cell r="C99" t="str">
            <v/>
          </cell>
        </row>
        <row r="100">
          <cell r="A100" t="str">
            <v>KevinJ</v>
          </cell>
          <cell r="B100" t="str">
            <v/>
          </cell>
          <cell r="C100" t="str">
            <v/>
          </cell>
        </row>
        <row r="101">
          <cell r="A101" t="str">
            <v>KevinS</v>
          </cell>
          <cell r="B101" t="str">
            <v/>
          </cell>
          <cell r="C101" t="str">
            <v/>
          </cell>
        </row>
        <row r="102">
          <cell r="A102" t="str">
            <v>Kristian</v>
          </cell>
          <cell r="B102" t="str">
            <v/>
          </cell>
          <cell r="C102" t="str">
            <v/>
          </cell>
        </row>
        <row r="103">
          <cell r="A103" t="str">
            <v>Kumar</v>
          </cell>
          <cell r="B103" t="str">
            <v/>
          </cell>
          <cell r="C103" t="str">
            <v/>
          </cell>
        </row>
        <row r="104">
          <cell r="A104" t="str">
            <v>Kyle</v>
          </cell>
          <cell r="B104" t="str">
            <v/>
          </cell>
          <cell r="C104" t="str">
            <v/>
          </cell>
        </row>
        <row r="105">
          <cell r="A105" t="str">
            <v>LiamF</v>
          </cell>
          <cell r="B105" t="str">
            <v/>
          </cell>
          <cell r="C105" t="str">
            <v/>
          </cell>
        </row>
        <row r="106">
          <cell r="A106" t="str">
            <v>LiamM</v>
          </cell>
          <cell r="B106" t="str">
            <v/>
          </cell>
          <cell r="C106" t="str">
            <v/>
          </cell>
        </row>
        <row r="107">
          <cell r="A107" t="str">
            <v>Lindsey</v>
          </cell>
          <cell r="B107" t="str">
            <v/>
          </cell>
          <cell r="C107" t="str">
            <v/>
          </cell>
        </row>
        <row r="108">
          <cell r="A108" t="str">
            <v>Luka</v>
          </cell>
          <cell r="B108" t="str">
            <v/>
          </cell>
          <cell r="C108" t="str">
            <v/>
          </cell>
        </row>
        <row r="109">
          <cell r="A109" t="str">
            <v>Magno</v>
          </cell>
          <cell r="B109" t="str">
            <v/>
          </cell>
          <cell r="C109" t="str">
            <v/>
          </cell>
        </row>
        <row r="110">
          <cell r="A110" t="str">
            <v>Major</v>
          </cell>
          <cell r="B110" t="str">
            <v/>
          </cell>
          <cell r="C110" t="str">
            <v/>
          </cell>
        </row>
        <row r="111">
          <cell r="A111" t="str">
            <v>Manley</v>
          </cell>
          <cell r="B111">
            <v>2</v>
          </cell>
          <cell r="C111">
            <v>3</v>
          </cell>
        </row>
        <row r="112">
          <cell r="A112" t="str">
            <v>Manny</v>
          </cell>
          <cell r="B112" t="str">
            <v/>
          </cell>
          <cell r="C112" t="str">
            <v/>
          </cell>
        </row>
        <row r="113">
          <cell r="A113" t="str">
            <v>Marcio</v>
          </cell>
          <cell r="B113" t="str">
            <v/>
          </cell>
          <cell r="C113" t="str">
            <v/>
          </cell>
        </row>
        <row r="114">
          <cell r="A114" t="str">
            <v>Maria</v>
          </cell>
          <cell r="B114">
            <v>1</v>
          </cell>
          <cell r="C114">
            <v>1</v>
          </cell>
        </row>
        <row r="115">
          <cell r="A115" t="str">
            <v>Marta</v>
          </cell>
          <cell r="B115" t="str">
            <v/>
          </cell>
          <cell r="C115" t="str">
            <v/>
          </cell>
        </row>
        <row r="116">
          <cell r="A116" t="str">
            <v>MatthewM</v>
          </cell>
          <cell r="B116" t="str">
            <v/>
          </cell>
          <cell r="C116" t="str">
            <v/>
          </cell>
        </row>
        <row r="117">
          <cell r="A117" t="str">
            <v>MatthewS1</v>
          </cell>
          <cell r="B117" t="str">
            <v/>
          </cell>
          <cell r="C117" t="str">
            <v/>
          </cell>
        </row>
        <row r="118">
          <cell r="A118" t="str">
            <v>MatthewS2</v>
          </cell>
          <cell r="B118">
            <v>2</v>
          </cell>
          <cell r="C118">
            <v>3</v>
          </cell>
        </row>
        <row r="119">
          <cell r="A119" t="str">
            <v>MatthewS3</v>
          </cell>
          <cell r="B119" t="str">
            <v/>
          </cell>
          <cell r="C119" t="str">
            <v/>
          </cell>
        </row>
        <row r="120">
          <cell r="A120" t="str">
            <v>MichaelL</v>
          </cell>
          <cell r="B120">
            <v>1</v>
          </cell>
          <cell r="C120">
            <v>0</v>
          </cell>
        </row>
        <row r="121">
          <cell r="A121" t="str">
            <v>MichaelM</v>
          </cell>
          <cell r="B121">
            <v>2</v>
          </cell>
          <cell r="C121">
            <v>1</v>
          </cell>
        </row>
        <row r="122">
          <cell r="A122" t="str">
            <v>MichaelP</v>
          </cell>
          <cell r="B122" t="str">
            <v/>
          </cell>
          <cell r="C122" t="str">
            <v/>
          </cell>
        </row>
        <row r="123">
          <cell r="A123" t="str">
            <v>Michele</v>
          </cell>
          <cell r="B123" t="str">
            <v/>
          </cell>
          <cell r="C123" t="str">
            <v/>
          </cell>
        </row>
        <row r="124">
          <cell r="A124" t="str">
            <v>Michiel</v>
          </cell>
          <cell r="B124" t="str">
            <v/>
          </cell>
          <cell r="C124" t="str">
            <v/>
          </cell>
        </row>
        <row r="125">
          <cell r="A125" t="str">
            <v>MikeD</v>
          </cell>
          <cell r="B125">
            <v>2</v>
          </cell>
          <cell r="C125">
            <v>2</v>
          </cell>
        </row>
        <row r="126">
          <cell r="A126" t="str">
            <v>Mitchell</v>
          </cell>
          <cell r="B126" t="str">
            <v/>
          </cell>
          <cell r="C126" t="str">
            <v/>
          </cell>
        </row>
        <row r="127">
          <cell r="A127" t="str">
            <v>Mugwe</v>
          </cell>
          <cell r="B127" t="str">
            <v/>
          </cell>
          <cell r="C127" t="str">
            <v/>
          </cell>
        </row>
        <row r="128">
          <cell r="A128" t="str">
            <v>Nancy</v>
          </cell>
          <cell r="B128" t="str">
            <v/>
          </cell>
          <cell r="C128" t="str">
            <v/>
          </cell>
        </row>
        <row r="129">
          <cell r="A129" t="str">
            <v>Nas</v>
          </cell>
          <cell r="B129" t="str">
            <v/>
          </cell>
          <cell r="C129" t="str">
            <v/>
          </cell>
        </row>
        <row r="130">
          <cell r="A130" t="str">
            <v>NelsonP</v>
          </cell>
          <cell r="B130" t="str">
            <v/>
          </cell>
          <cell r="C130" t="str">
            <v/>
          </cell>
        </row>
        <row r="131">
          <cell r="A131" t="str">
            <v>Nicole</v>
          </cell>
          <cell r="B131" t="str">
            <v/>
          </cell>
          <cell r="C131" t="str">
            <v/>
          </cell>
        </row>
        <row r="132">
          <cell r="A132" t="str">
            <v>Nuno</v>
          </cell>
          <cell r="B132" t="str">
            <v/>
          </cell>
          <cell r="C132" t="str">
            <v/>
          </cell>
        </row>
        <row r="133">
          <cell r="A133" t="str">
            <v>PabloL</v>
          </cell>
          <cell r="B133" t="str">
            <v/>
          </cell>
          <cell r="C133" t="str">
            <v/>
          </cell>
        </row>
        <row r="134">
          <cell r="A134" t="str">
            <v>Pardeep</v>
          </cell>
          <cell r="B134" t="str">
            <v/>
          </cell>
          <cell r="C134" t="str">
            <v/>
          </cell>
        </row>
        <row r="135">
          <cell r="A135" t="str">
            <v>PaulC</v>
          </cell>
          <cell r="B135" t="str">
            <v/>
          </cell>
          <cell r="C135" t="str">
            <v/>
          </cell>
        </row>
        <row r="136">
          <cell r="A136" t="str">
            <v>Pedro</v>
          </cell>
          <cell r="B136" t="str">
            <v/>
          </cell>
          <cell r="C136" t="str">
            <v/>
          </cell>
        </row>
        <row r="137">
          <cell r="A137" t="str">
            <v>PeterB</v>
          </cell>
          <cell r="B137" t="str">
            <v/>
          </cell>
          <cell r="C137" t="str">
            <v/>
          </cell>
        </row>
        <row r="138">
          <cell r="A138" t="str">
            <v>PeterM</v>
          </cell>
          <cell r="B138" t="str">
            <v/>
          </cell>
          <cell r="C138" t="str">
            <v/>
          </cell>
        </row>
        <row r="139">
          <cell r="A139" t="str">
            <v>Preto1</v>
          </cell>
          <cell r="B139" t="str">
            <v/>
          </cell>
          <cell r="C139" t="str">
            <v/>
          </cell>
        </row>
        <row r="140">
          <cell r="A140" t="str">
            <v>Preto2</v>
          </cell>
          <cell r="B140" t="str">
            <v/>
          </cell>
          <cell r="C140" t="str">
            <v/>
          </cell>
        </row>
        <row r="141">
          <cell r="A141" t="str">
            <v>Rachel</v>
          </cell>
          <cell r="B141">
            <v>2</v>
          </cell>
          <cell r="C141">
            <v>1</v>
          </cell>
        </row>
        <row r="142">
          <cell r="A142" t="str">
            <v>Razi</v>
          </cell>
          <cell r="B142" t="str">
            <v/>
          </cell>
          <cell r="C142" t="str">
            <v/>
          </cell>
        </row>
        <row r="143">
          <cell r="A143" t="str">
            <v>RD22</v>
          </cell>
          <cell r="B143" t="str">
            <v/>
          </cell>
          <cell r="C143" t="str">
            <v/>
          </cell>
        </row>
        <row r="144">
          <cell r="A144" t="str">
            <v>Ricardo</v>
          </cell>
          <cell r="B144" t="str">
            <v/>
          </cell>
          <cell r="C144" t="str">
            <v/>
          </cell>
        </row>
        <row r="145">
          <cell r="A145" t="str">
            <v>RichardMa1</v>
          </cell>
          <cell r="B145" t="str">
            <v/>
          </cell>
          <cell r="C145" t="str">
            <v/>
          </cell>
        </row>
        <row r="146">
          <cell r="A146" t="str">
            <v>RichardMa2</v>
          </cell>
          <cell r="B146" t="str">
            <v/>
          </cell>
          <cell r="C146" t="str">
            <v/>
          </cell>
        </row>
        <row r="147">
          <cell r="A147" t="str">
            <v>Rick</v>
          </cell>
          <cell r="B147" t="str">
            <v/>
          </cell>
          <cell r="C147" t="str">
            <v/>
          </cell>
        </row>
        <row r="148">
          <cell r="A148" t="str">
            <v>Rita</v>
          </cell>
          <cell r="B148" t="str">
            <v/>
          </cell>
          <cell r="C148" t="str">
            <v/>
          </cell>
        </row>
        <row r="149">
          <cell r="A149" t="str">
            <v>Riyad</v>
          </cell>
          <cell r="B149" t="str">
            <v/>
          </cell>
          <cell r="C149" t="str">
            <v/>
          </cell>
        </row>
        <row r="150">
          <cell r="A150" t="str">
            <v>RobertP</v>
          </cell>
          <cell r="B150" t="str">
            <v/>
          </cell>
          <cell r="C150" t="str">
            <v/>
          </cell>
        </row>
        <row r="151">
          <cell r="A151" t="str">
            <v>RobertS</v>
          </cell>
          <cell r="B151" t="str">
            <v/>
          </cell>
          <cell r="C151" t="str">
            <v/>
          </cell>
        </row>
        <row r="152">
          <cell r="A152" t="str">
            <v>RobSi</v>
          </cell>
          <cell r="B152" t="str">
            <v/>
          </cell>
          <cell r="C152" t="str">
            <v/>
          </cell>
        </row>
        <row r="153">
          <cell r="A153" t="str">
            <v>RobT</v>
          </cell>
          <cell r="B153" t="str">
            <v/>
          </cell>
          <cell r="C153" t="str">
            <v/>
          </cell>
        </row>
        <row r="154">
          <cell r="A154" t="str">
            <v>RobV</v>
          </cell>
          <cell r="B154" t="str">
            <v/>
          </cell>
          <cell r="C154" t="str">
            <v/>
          </cell>
        </row>
        <row r="155">
          <cell r="A155" t="str">
            <v>RobW</v>
          </cell>
          <cell r="B155" t="str">
            <v/>
          </cell>
          <cell r="C155" t="str">
            <v/>
          </cell>
        </row>
        <row r="156">
          <cell r="A156" t="str">
            <v>Roger</v>
          </cell>
          <cell r="B156">
            <v>1</v>
          </cell>
          <cell r="C156">
            <v>2</v>
          </cell>
        </row>
        <row r="157">
          <cell r="A157" t="str">
            <v>Rousse</v>
          </cell>
          <cell r="B157" t="str">
            <v/>
          </cell>
          <cell r="C157" t="str">
            <v/>
          </cell>
        </row>
        <row r="158">
          <cell r="A158" t="str">
            <v>Sameer</v>
          </cell>
          <cell r="B158">
            <v>3</v>
          </cell>
          <cell r="C158">
            <v>1</v>
          </cell>
        </row>
        <row r="159">
          <cell r="A159" t="str">
            <v>Santiago</v>
          </cell>
          <cell r="B159" t="str">
            <v/>
          </cell>
          <cell r="C159" t="str">
            <v/>
          </cell>
        </row>
        <row r="160">
          <cell r="A160" t="str">
            <v>Scotty</v>
          </cell>
          <cell r="B160" t="str">
            <v/>
          </cell>
          <cell r="C160" t="str">
            <v/>
          </cell>
        </row>
        <row r="161">
          <cell r="A161" t="str">
            <v>Sean</v>
          </cell>
          <cell r="B161" t="str">
            <v/>
          </cell>
          <cell r="C161" t="str">
            <v/>
          </cell>
        </row>
        <row r="162">
          <cell r="A162" t="str">
            <v>Shawn1</v>
          </cell>
          <cell r="B162" t="str">
            <v/>
          </cell>
          <cell r="C162" t="str">
            <v/>
          </cell>
        </row>
        <row r="163">
          <cell r="A163" t="str">
            <v>Shawn2</v>
          </cell>
          <cell r="B163" t="str">
            <v/>
          </cell>
          <cell r="C163" t="str">
            <v/>
          </cell>
        </row>
        <row r="164">
          <cell r="A164" t="str">
            <v>Sher</v>
          </cell>
          <cell r="B164" t="str">
            <v/>
          </cell>
          <cell r="C164" t="str">
            <v/>
          </cell>
        </row>
        <row r="165">
          <cell r="A165" t="str">
            <v>Simon</v>
          </cell>
          <cell r="B165" t="str">
            <v/>
          </cell>
          <cell r="C165" t="str">
            <v/>
          </cell>
        </row>
        <row r="166">
          <cell r="A166" t="str">
            <v>Soni</v>
          </cell>
          <cell r="B166">
            <v>2</v>
          </cell>
          <cell r="C166">
            <v>1</v>
          </cell>
        </row>
        <row r="167">
          <cell r="A167" t="str">
            <v>Stallone1</v>
          </cell>
          <cell r="B167" t="str">
            <v/>
          </cell>
          <cell r="C167" t="str">
            <v/>
          </cell>
        </row>
        <row r="168">
          <cell r="A168" t="str">
            <v>Stallone2</v>
          </cell>
          <cell r="B168" t="str">
            <v/>
          </cell>
          <cell r="C168" t="str">
            <v/>
          </cell>
        </row>
        <row r="169">
          <cell r="A169" t="str">
            <v>Stan</v>
          </cell>
          <cell r="B169" t="str">
            <v/>
          </cell>
          <cell r="C169" t="str">
            <v/>
          </cell>
        </row>
        <row r="170">
          <cell r="A170" t="str">
            <v>StevenT</v>
          </cell>
          <cell r="B170" t="str">
            <v/>
          </cell>
          <cell r="C170" t="str">
            <v/>
          </cell>
        </row>
        <row r="171">
          <cell r="A171" t="str">
            <v>Stirling</v>
          </cell>
          <cell r="B171" t="str">
            <v/>
          </cell>
          <cell r="C171" t="str">
            <v/>
          </cell>
        </row>
        <row r="172">
          <cell r="A172" t="str">
            <v>Tanmay</v>
          </cell>
          <cell r="B172" t="str">
            <v/>
          </cell>
          <cell r="C172" t="str">
            <v/>
          </cell>
        </row>
        <row r="173">
          <cell r="A173" t="str">
            <v>Tanya</v>
          </cell>
          <cell r="B173" t="str">
            <v/>
          </cell>
          <cell r="C173" t="str">
            <v/>
          </cell>
        </row>
        <row r="174">
          <cell r="A174" t="str">
            <v>Teresa</v>
          </cell>
          <cell r="B174" t="str">
            <v/>
          </cell>
          <cell r="C174" t="str">
            <v/>
          </cell>
        </row>
        <row r="175">
          <cell r="A175" t="str">
            <v>Tom</v>
          </cell>
          <cell r="B175" t="str">
            <v/>
          </cell>
          <cell r="C175" t="str">
            <v/>
          </cell>
        </row>
        <row r="176">
          <cell r="A176" t="str">
            <v>TonyH</v>
          </cell>
          <cell r="B176" t="str">
            <v/>
          </cell>
          <cell r="C176" t="str">
            <v/>
          </cell>
        </row>
        <row r="177">
          <cell r="A177" t="str">
            <v>TonyM</v>
          </cell>
          <cell r="B177" t="str">
            <v/>
          </cell>
          <cell r="C177" t="str">
            <v/>
          </cell>
        </row>
        <row r="178">
          <cell r="A178" t="str">
            <v>TonyS</v>
          </cell>
          <cell r="B178" t="str">
            <v/>
          </cell>
          <cell r="C178" t="str">
            <v/>
          </cell>
        </row>
        <row r="179">
          <cell r="A179" t="str">
            <v>Trevor</v>
          </cell>
          <cell r="B179">
            <v>0</v>
          </cell>
          <cell r="C179">
            <v>1</v>
          </cell>
        </row>
        <row r="180">
          <cell r="A180" t="str">
            <v>Tristan</v>
          </cell>
          <cell r="B180" t="str">
            <v/>
          </cell>
          <cell r="C180" t="str">
            <v/>
          </cell>
        </row>
        <row r="181">
          <cell r="A181" t="str">
            <v>Veejay</v>
          </cell>
          <cell r="B181" t="str">
            <v/>
          </cell>
          <cell r="C181" t="str">
            <v/>
          </cell>
        </row>
        <row r="182">
          <cell r="A182" t="str">
            <v>Vicki</v>
          </cell>
          <cell r="B182" t="str">
            <v/>
          </cell>
          <cell r="C182" t="str">
            <v/>
          </cell>
        </row>
        <row r="183">
          <cell r="A183" t="str">
            <v>Victer</v>
          </cell>
          <cell r="B183">
            <v>3</v>
          </cell>
          <cell r="C183">
            <v>1</v>
          </cell>
        </row>
        <row r="184">
          <cell r="A184" t="str">
            <v>Wilson</v>
          </cell>
          <cell r="B184" t="str">
            <v/>
          </cell>
          <cell r="C184" t="str">
            <v/>
          </cell>
        </row>
        <row r="185">
          <cell r="A185" t="str">
            <v>Yuri</v>
          </cell>
          <cell r="B185">
            <v>2</v>
          </cell>
          <cell r="C185">
            <v>3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group_pts\Arturo_group_pts.htm" TargetMode="External"/><Relationship Id="rId671" Type="http://schemas.openxmlformats.org/officeDocument/2006/relationships/hyperlink" Target="bonus_pts\StevenT_bonus_pts.htm" TargetMode="External"/><Relationship Id="rId21" Type="http://schemas.openxmlformats.org/officeDocument/2006/relationships/hyperlink" Target="group_pts\DerekD_group_pts.htm" TargetMode="External"/><Relationship Id="rId324" Type="http://schemas.openxmlformats.org/officeDocument/2006/relationships/hyperlink" Target="predictions\JohnR.htm" TargetMode="External"/><Relationship Id="rId531" Type="http://schemas.openxmlformats.org/officeDocument/2006/relationships/hyperlink" Target="group_pts\Trevor_group_pts.htm" TargetMode="External"/><Relationship Id="rId629" Type="http://schemas.openxmlformats.org/officeDocument/2006/relationships/hyperlink" Target="predictions\Cameron.htm" TargetMode="External"/><Relationship Id="rId170" Type="http://schemas.openxmlformats.org/officeDocument/2006/relationships/hyperlink" Target="predictions\DanielM.htm" TargetMode="External"/><Relationship Id="rId268" Type="http://schemas.openxmlformats.org/officeDocument/2006/relationships/hyperlink" Target="group_pts\HelderA_group_pts.htm" TargetMode="External"/><Relationship Id="rId475" Type="http://schemas.openxmlformats.org/officeDocument/2006/relationships/hyperlink" Target="group_pts\PeterM_group_pts.htm" TargetMode="External"/><Relationship Id="rId682" Type="http://schemas.openxmlformats.org/officeDocument/2006/relationships/hyperlink" Target="bonus_pts\Wilson_bonus_pts.htm" TargetMode="External"/><Relationship Id="rId32" Type="http://schemas.openxmlformats.org/officeDocument/2006/relationships/hyperlink" Target="predictions\LiamM.htm" TargetMode="External"/><Relationship Id="rId128" Type="http://schemas.openxmlformats.org/officeDocument/2006/relationships/hyperlink" Target="predictions\DannyL2.htm" TargetMode="External"/><Relationship Id="rId335" Type="http://schemas.openxmlformats.org/officeDocument/2006/relationships/hyperlink" Target="group_pts\JorgeC_group_pts.htm" TargetMode="External"/><Relationship Id="rId542" Type="http://schemas.openxmlformats.org/officeDocument/2006/relationships/hyperlink" Target="knockout_pts\TonyH_knockout_pts.htm" TargetMode="External"/><Relationship Id="rId181" Type="http://schemas.openxmlformats.org/officeDocument/2006/relationships/hyperlink" Target="group_pts\DannyL3_group_pts.htm" TargetMode="External"/><Relationship Id="rId402" Type="http://schemas.openxmlformats.org/officeDocument/2006/relationships/hyperlink" Target="knockout_pts\Marcio_knockout_pts.htm" TargetMode="External"/><Relationship Id="rId279" Type="http://schemas.openxmlformats.org/officeDocument/2006/relationships/hyperlink" Target="knockout_pts\Igor_knockout_pts.htm" TargetMode="External"/><Relationship Id="rId486" Type="http://schemas.openxmlformats.org/officeDocument/2006/relationships/hyperlink" Target="predictions\Rita.htm" TargetMode="External"/><Relationship Id="rId693" Type="http://schemas.openxmlformats.org/officeDocument/2006/relationships/hyperlink" Target="bonus_pts/Michiel_bonus_pts.htm" TargetMode="External"/><Relationship Id="rId707" Type="http://schemas.openxmlformats.org/officeDocument/2006/relationships/hyperlink" Target="bonus_pts/FrankD2_bonus_pts.htm" TargetMode="External"/><Relationship Id="rId43" Type="http://schemas.openxmlformats.org/officeDocument/2006/relationships/hyperlink" Target="bonus_pts\TonyS_bonus_pts.htm" TargetMode="External"/><Relationship Id="rId139" Type="http://schemas.openxmlformats.org/officeDocument/2006/relationships/hyperlink" Target="knockout_pts\Rousse_knockout_pts.htm" TargetMode="External"/><Relationship Id="rId346" Type="http://schemas.openxmlformats.org/officeDocument/2006/relationships/hyperlink" Target="bonus_pts\Hugo_bonus_pts.htm" TargetMode="External"/><Relationship Id="rId553" Type="http://schemas.openxmlformats.org/officeDocument/2006/relationships/hyperlink" Target="bonus_pts\Rick_bonus_pts.htm" TargetMode="External"/><Relationship Id="rId192" Type="http://schemas.openxmlformats.org/officeDocument/2006/relationships/hyperlink" Target="knockout_pts\Daryl_knockout_pts.htm" TargetMode="External"/><Relationship Id="rId206" Type="http://schemas.openxmlformats.org/officeDocument/2006/relationships/hyperlink" Target="predictions\Jake.htm" TargetMode="External"/><Relationship Id="rId413" Type="http://schemas.openxmlformats.org/officeDocument/2006/relationships/hyperlink" Target="bonus_pts\JorgeT_bonus_pts.htm" TargetMode="External"/><Relationship Id="rId497" Type="http://schemas.openxmlformats.org/officeDocument/2006/relationships/hyperlink" Target="predictions\Teresa.htm" TargetMode="External"/><Relationship Id="rId620" Type="http://schemas.openxmlformats.org/officeDocument/2006/relationships/hyperlink" Target="predictions\Ishaque.htm" TargetMode="External"/><Relationship Id="rId718" Type="http://schemas.openxmlformats.org/officeDocument/2006/relationships/hyperlink" Target="bonus_pts/Igor_bonus_pts.htm" TargetMode="External"/><Relationship Id="rId357" Type="http://schemas.openxmlformats.org/officeDocument/2006/relationships/hyperlink" Target="knockout_pts\KevinJ_knockout_pts.htm" TargetMode="External"/><Relationship Id="rId54" Type="http://schemas.openxmlformats.org/officeDocument/2006/relationships/hyperlink" Target="predictions\MichaelP.htm" TargetMode="External"/><Relationship Id="rId217" Type="http://schemas.openxmlformats.org/officeDocument/2006/relationships/hyperlink" Target="knockout_pts\DougM_knockout_pts.htm" TargetMode="External"/><Relationship Id="rId564" Type="http://schemas.openxmlformats.org/officeDocument/2006/relationships/hyperlink" Target="group_pts\Victer_group_pts.htm" TargetMode="External"/><Relationship Id="rId424" Type="http://schemas.openxmlformats.org/officeDocument/2006/relationships/hyperlink" Target="bonus_pts\MikeD_bonus_pts.htm" TargetMode="External"/><Relationship Id="rId631" Type="http://schemas.openxmlformats.org/officeDocument/2006/relationships/hyperlink" Target="knockout_pts\Cameron_knockout_pts.htm" TargetMode="External"/><Relationship Id="rId270" Type="http://schemas.openxmlformats.org/officeDocument/2006/relationships/hyperlink" Target="group_pts\Igor_group_pts.htm" TargetMode="External"/><Relationship Id="rId65" Type="http://schemas.openxmlformats.org/officeDocument/2006/relationships/hyperlink" Target="bonus_pts\Manley_bonus_pts.htm" TargetMode="External"/><Relationship Id="rId130" Type="http://schemas.openxmlformats.org/officeDocument/2006/relationships/hyperlink" Target="predictions\Augie.htm" TargetMode="External"/><Relationship Id="rId368" Type="http://schemas.openxmlformats.org/officeDocument/2006/relationships/hyperlink" Target="group_pts\Kumar_group_pts.htm" TargetMode="External"/><Relationship Id="rId575" Type="http://schemas.openxmlformats.org/officeDocument/2006/relationships/hyperlink" Target="knockout_pts\KevinS_knockout_pts.htm" TargetMode="External"/><Relationship Id="rId228" Type="http://schemas.openxmlformats.org/officeDocument/2006/relationships/hyperlink" Target="group_pts\Eduardo_group_pts.htm" TargetMode="External"/><Relationship Id="rId435" Type="http://schemas.openxmlformats.org/officeDocument/2006/relationships/hyperlink" Target="knockout_pts\Mitchell_knockout_pts.htm" TargetMode="External"/><Relationship Id="rId642" Type="http://schemas.openxmlformats.org/officeDocument/2006/relationships/hyperlink" Target="knockout_pts\Ken_knockout_pts.htm" TargetMode="External"/><Relationship Id="rId281" Type="http://schemas.openxmlformats.org/officeDocument/2006/relationships/hyperlink" Target="knockout_pts\MatthewS3_knockout_pts.htm" TargetMode="External"/><Relationship Id="rId502" Type="http://schemas.openxmlformats.org/officeDocument/2006/relationships/hyperlink" Target="group_pts\RobW_group_pts.htm" TargetMode="External"/><Relationship Id="rId76" Type="http://schemas.openxmlformats.org/officeDocument/2006/relationships/hyperlink" Target="predictions\Franco.htm" TargetMode="External"/><Relationship Id="rId141" Type="http://schemas.openxmlformats.org/officeDocument/2006/relationships/hyperlink" Target="knockout_pts\Caroline_knockout_pts.htm" TargetMode="External"/><Relationship Id="rId379" Type="http://schemas.openxmlformats.org/officeDocument/2006/relationships/hyperlink" Target="predictions\Major.htm" TargetMode="External"/><Relationship Id="rId586" Type="http://schemas.openxmlformats.org/officeDocument/2006/relationships/hyperlink" Target="group_pts\Soni_group_pts.htm" TargetMode="External"/><Relationship Id="rId7" Type="http://schemas.openxmlformats.org/officeDocument/2006/relationships/hyperlink" Target="bonus_pts\Aban_bonus_pts.htm" TargetMode="External"/><Relationship Id="rId239" Type="http://schemas.openxmlformats.org/officeDocument/2006/relationships/hyperlink" Target="group_pts\Elizabeth_group_pts.htm" TargetMode="External"/><Relationship Id="rId446" Type="http://schemas.openxmlformats.org/officeDocument/2006/relationships/hyperlink" Target="bonus_pts\RichardMa1_bonus_pts.htm" TargetMode="External"/><Relationship Id="rId653" Type="http://schemas.openxmlformats.org/officeDocument/2006/relationships/hyperlink" Target="knockout_pts\Aaron2_knockout_pts.htm" TargetMode="External"/><Relationship Id="rId292" Type="http://schemas.openxmlformats.org/officeDocument/2006/relationships/hyperlink" Target="predictions\JeffB.htm" TargetMode="External"/><Relationship Id="rId306" Type="http://schemas.openxmlformats.org/officeDocument/2006/relationships/hyperlink" Target="bonus_pts\FrankI_bonus_pts.htm" TargetMode="External"/><Relationship Id="rId87" Type="http://schemas.openxmlformats.org/officeDocument/2006/relationships/hyperlink" Target="group_pts\Alice_group_pts.htm" TargetMode="External"/><Relationship Id="rId513" Type="http://schemas.openxmlformats.org/officeDocument/2006/relationships/hyperlink" Target="knockout_pts\Teresa_knockout_pts.htm" TargetMode="External"/><Relationship Id="rId597" Type="http://schemas.openxmlformats.org/officeDocument/2006/relationships/hyperlink" Target="group_pts\DinoG_group_pts.htm" TargetMode="External"/><Relationship Id="rId720" Type="http://schemas.openxmlformats.org/officeDocument/2006/relationships/hyperlink" Target="bonus_pts/Fawzi_bonus_pts.htm" TargetMode="External"/><Relationship Id="rId152" Type="http://schemas.openxmlformats.org/officeDocument/2006/relationships/hyperlink" Target="predictions\Caroline.htm" TargetMode="External"/><Relationship Id="rId457" Type="http://schemas.openxmlformats.org/officeDocument/2006/relationships/hyperlink" Target="knockout_pts\Pardeep_knockout_pts.htm" TargetMode="External"/><Relationship Id="rId664" Type="http://schemas.openxmlformats.org/officeDocument/2006/relationships/hyperlink" Target="bonus_pts\Sameer_bonus_pts.htm" TargetMode="External"/><Relationship Id="rId14" Type="http://schemas.openxmlformats.org/officeDocument/2006/relationships/hyperlink" Target="knockout_pts\Chrissy_knockout_pts.htm" TargetMode="External"/><Relationship Id="rId317" Type="http://schemas.openxmlformats.org/officeDocument/2006/relationships/hyperlink" Target="predictions\Ricardo.htm" TargetMode="External"/><Relationship Id="rId524" Type="http://schemas.openxmlformats.org/officeDocument/2006/relationships/hyperlink" Target="predictions\Rick.htm" TargetMode="External"/><Relationship Id="rId98" Type="http://schemas.openxmlformats.org/officeDocument/2006/relationships/hyperlink" Target="predictions\Antonio.htm" TargetMode="External"/><Relationship Id="rId163" Type="http://schemas.openxmlformats.org/officeDocument/2006/relationships/hyperlink" Target="knockout_pts\Corey_knockout_pts.htm" TargetMode="External"/><Relationship Id="rId370" Type="http://schemas.openxmlformats.org/officeDocument/2006/relationships/hyperlink" Target="bonus_pts\Kumar_bonus_pts.htm" TargetMode="External"/><Relationship Id="rId230" Type="http://schemas.openxmlformats.org/officeDocument/2006/relationships/hyperlink" Target="knockout_pts\Eduardo_knockout_pts.htm" TargetMode="External"/><Relationship Id="rId468" Type="http://schemas.openxmlformats.org/officeDocument/2006/relationships/hyperlink" Target="group_pts\Pedro_group_pts.htm" TargetMode="External"/><Relationship Id="rId675" Type="http://schemas.openxmlformats.org/officeDocument/2006/relationships/hyperlink" Target="bonus_pts\Shawn2_bonus_pts.htm" TargetMode="External"/><Relationship Id="rId25" Type="http://schemas.openxmlformats.org/officeDocument/2006/relationships/hyperlink" Target="group_pts\EdwardT_group_pts.htm" TargetMode="External"/><Relationship Id="rId328" Type="http://schemas.openxmlformats.org/officeDocument/2006/relationships/hyperlink" Target="predictions\Joao.htm" TargetMode="External"/><Relationship Id="rId535" Type="http://schemas.openxmlformats.org/officeDocument/2006/relationships/hyperlink" Target="group_pts\Gavin_group_pts.htm" TargetMode="External"/><Relationship Id="rId174" Type="http://schemas.openxmlformats.org/officeDocument/2006/relationships/hyperlink" Target="predictions\Daryl.htm" TargetMode="External"/><Relationship Id="rId381" Type="http://schemas.openxmlformats.org/officeDocument/2006/relationships/hyperlink" Target="predictions\JorgeT.htm" TargetMode="External"/><Relationship Id="rId602" Type="http://schemas.openxmlformats.org/officeDocument/2006/relationships/hyperlink" Target="knockout_pts\Scotty_knockout_pts.htm" TargetMode="External"/><Relationship Id="rId241" Type="http://schemas.openxmlformats.org/officeDocument/2006/relationships/hyperlink" Target="group_pts\Fawzi_group_pts.htm" TargetMode="External"/><Relationship Id="rId479" Type="http://schemas.openxmlformats.org/officeDocument/2006/relationships/hyperlink" Target="group_pts\Razi_group_pts.htm" TargetMode="External"/><Relationship Id="rId686" Type="http://schemas.openxmlformats.org/officeDocument/2006/relationships/hyperlink" Target="bonus_pts/Nicole_bonus_pts.htm" TargetMode="External"/><Relationship Id="rId36" Type="http://schemas.openxmlformats.org/officeDocument/2006/relationships/hyperlink" Target="predictions\Avix.htm" TargetMode="External"/><Relationship Id="rId339" Type="http://schemas.openxmlformats.org/officeDocument/2006/relationships/hyperlink" Target="knockout_pts\Hugo_knockout_pts.htm" TargetMode="External"/><Relationship Id="rId546" Type="http://schemas.openxmlformats.org/officeDocument/2006/relationships/hyperlink" Target="knockout_pts\Roger_knockout_pts.htm" TargetMode="External"/><Relationship Id="rId101" Type="http://schemas.openxmlformats.org/officeDocument/2006/relationships/hyperlink" Target="group_pts\Bert_group_pts.htm" TargetMode="External"/><Relationship Id="rId185" Type="http://schemas.openxmlformats.org/officeDocument/2006/relationships/hyperlink" Target="group_pts\DavidD_group_pts.htm" TargetMode="External"/><Relationship Id="rId406" Type="http://schemas.openxmlformats.org/officeDocument/2006/relationships/hyperlink" Target="knockout_pts\Stirling_knockout_pts.htm" TargetMode="External"/><Relationship Id="rId392" Type="http://schemas.openxmlformats.org/officeDocument/2006/relationships/hyperlink" Target="group_pts\JorgeT_group_pts.htm" TargetMode="External"/><Relationship Id="rId613" Type="http://schemas.openxmlformats.org/officeDocument/2006/relationships/hyperlink" Target="group_pts\Preto2_group_pts.htm" TargetMode="External"/><Relationship Id="rId697" Type="http://schemas.openxmlformats.org/officeDocument/2006/relationships/hyperlink" Target="bonus_pts/Victer_bonus_pts.htm" TargetMode="External"/><Relationship Id="rId252" Type="http://schemas.openxmlformats.org/officeDocument/2006/relationships/hyperlink" Target="bonus_pts\Fernando_bonus_pts.htm" TargetMode="External"/><Relationship Id="rId47" Type="http://schemas.openxmlformats.org/officeDocument/2006/relationships/hyperlink" Target="bonus_pts\Shawn1_bonus_pts.htm" TargetMode="External"/><Relationship Id="rId112" Type="http://schemas.openxmlformats.org/officeDocument/2006/relationships/hyperlink" Target="knockout_pts\Ash_knockout_pts.htm" TargetMode="External"/><Relationship Id="rId557" Type="http://schemas.openxmlformats.org/officeDocument/2006/relationships/hyperlink" Target="predictions\Ana.htm" TargetMode="External"/><Relationship Id="rId196" Type="http://schemas.openxmlformats.org/officeDocument/2006/relationships/hyperlink" Target="bonus_pts\Damian_bonus_pts.htm" TargetMode="External"/><Relationship Id="rId417" Type="http://schemas.openxmlformats.org/officeDocument/2006/relationships/hyperlink" Target="bonus_pts\Lindsey_bonus_pts.htm" TargetMode="External"/><Relationship Id="rId624" Type="http://schemas.openxmlformats.org/officeDocument/2006/relationships/hyperlink" Target="predictions\Rousse.htm" TargetMode="External"/><Relationship Id="rId263" Type="http://schemas.openxmlformats.org/officeDocument/2006/relationships/hyperlink" Target="predictions\MatthewS3.htm" TargetMode="External"/><Relationship Id="rId470" Type="http://schemas.openxmlformats.org/officeDocument/2006/relationships/hyperlink" Target="predictions\PeterB.htm" TargetMode="External"/><Relationship Id="rId58" Type="http://schemas.openxmlformats.org/officeDocument/2006/relationships/hyperlink" Target="predictions\Manny.htm" TargetMode="External"/><Relationship Id="rId123" Type="http://schemas.openxmlformats.org/officeDocument/2006/relationships/hyperlink" Target="knockout_pts\Baffour_knockout_pts.htm" TargetMode="External"/><Relationship Id="rId330" Type="http://schemas.openxmlformats.org/officeDocument/2006/relationships/hyperlink" Target="group_pts\Helio_group_pts.htm" TargetMode="External"/><Relationship Id="rId568" Type="http://schemas.openxmlformats.org/officeDocument/2006/relationships/hyperlink" Target="group_pts\Nuno_group_pts.htm" TargetMode="External"/><Relationship Id="rId428" Type="http://schemas.openxmlformats.org/officeDocument/2006/relationships/hyperlink" Target="predictions\Nas.htm" TargetMode="External"/><Relationship Id="rId635" Type="http://schemas.openxmlformats.org/officeDocument/2006/relationships/hyperlink" Target="knockout_pts\Michiel_knockout_pts.htm" TargetMode="External"/><Relationship Id="rId274" Type="http://schemas.openxmlformats.org/officeDocument/2006/relationships/hyperlink" Target="knockout_pts\Gary_knockout_pts.htm" TargetMode="External"/><Relationship Id="rId481" Type="http://schemas.openxmlformats.org/officeDocument/2006/relationships/hyperlink" Target="bonus_pts\Razi_bonus_pts.htm" TargetMode="External"/><Relationship Id="rId702" Type="http://schemas.openxmlformats.org/officeDocument/2006/relationships/hyperlink" Target="bonus_pts/MatthewS2_bonus_pts.htm" TargetMode="External"/><Relationship Id="rId69" Type="http://schemas.openxmlformats.org/officeDocument/2006/relationships/hyperlink" Target="predictions\MatthewS2.htm" TargetMode="External"/><Relationship Id="rId134" Type="http://schemas.openxmlformats.org/officeDocument/2006/relationships/hyperlink" Target="bonus_pts\Tom_bonus_pts.htm" TargetMode="External"/><Relationship Id="rId579" Type="http://schemas.openxmlformats.org/officeDocument/2006/relationships/hyperlink" Target="knockout_pts\LiamF_knockout_pts.htm" TargetMode="External"/><Relationship Id="rId341" Type="http://schemas.openxmlformats.org/officeDocument/2006/relationships/hyperlink" Target="knockout_pts\Ian_knockout_pts.htm" TargetMode="External"/><Relationship Id="rId439" Type="http://schemas.openxmlformats.org/officeDocument/2006/relationships/hyperlink" Target="bonus_pts\Veejay_bonus_pts.htm" TargetMode="External"/><Relationship Id="rId646" Type="http://schemas.openxmlformats.org/officeDocument/2006/relationships/hyperlink" Target="bonus_pts\Yuri_bonus_pts.htm" TargetMode="External"/><Relationship Id="rId201" Type="http://schemas.openxmlformats.org/officeDocument/2006/relationships/hyperlink" Target="bonus_pts\Daryl_bonus_pts.htm" TargetMode="External"/><Relationship Id="rId285" Type="http://schemas.openxmlformats.org/officeDocument/2006/relationships/hyperlink" Target="bonus_pts\Hernani_bonus_pts.htm" TargetMode="External"/><Relationship Id="rId506" Type="http://schemas.openxmlformats.org/officeDocument/2006/relationships/hyperlink" Target="knockout_pts\RobertP_knockout_pts.htm" TargetMode="External"/><Relationship Id="rId492" Type="http://schemas.openxmlformats.org/officeDocument/2006/relationships/hyperlink" Target="predictions\Stallone1.htm" TargetMode="External"/><Relationship Id="rId713" Type="http://schemas.openxmlformats.org/officeDocument/2006/relationships/hyperlink" Target="bonus_pts/Marcio_bonus_pts.htm" TargetMode="External"/><Relationship Id="rId145" Type="http://schemas.openxmlformats.org/officeDocument/2006/relationships/hyperlink" Target="group_pts\Rousse_group_pts.htm" TargetMode="External"/><Relationship Id="rId352" Type="http://schemas.openxmlformats.org/officeDocument/2006/relationships/hyperlink" Target="group_pts\Josh_group_pts.htm" TargetMode="External"/><Relationship Id="rId212" Type="http://schemas.openxmlformats.org/officeDocument/2006/relationships/hyperlink" Target="group_pts\DougM_group_pts.htm" TargetMode="External"/><Relationship Id="rId657" Type="http://schemas.openxmlformats.org/officeDocument/2006/relationships/hyperlink" Target="knockout_pts\Julian_knockout_pts.htm" TargetMode="External"/><Relationship Id="rId296" Type="http://schemas.openxmlformats.org/officeDocument/2006/relationships/hyperlink" Target="group_pts\Janelle_group_pts.htm" TargetMode="External"/><Relationship Id="rId517" Type="http://schemas.openxmlformats.org/officeDocument/2006/relationships/hyperlink" Target="bonus_pts\RobW_bonus_pts.htm" TargetMode="External"/><Relationship Id="rId724" Type="http://schemas.openxmlformats.org/officeDocument/2006/relationships/hyperlink" Target="bonus_pts/Pedro_bonus_pts.htm" TargetMode="External"/><Relationship Id="rId60" Type="http://schemas.openxmlformats.org/officeDocument/2006/relationships/hyperlink" Target="knockout_pts\Manny_knockout_pts.htm" TargetMode="External"/><Relationship Id="rId156" Type="http://schemas.openxmlformats.org/officeDocument/2006/relationships/hyperlink" Target="predictions\Rachel.htm" TargetMode="External"/><Relationship Id="rId363" Type="http://schemas.openxmlformats.org/officeDocument/2006/relationships/hyperlink" Target="predictions\Kristian.htm" TargetMode="External"/><Relationship Id="rId570" Type="http://schemas.openxmlformats.org/officeDocument/2006/relationships/hyperlink" Target="predictions\Jimmy.htm" TargetMode="External"/><Relationship Id="rId223" Type="http://schemas.openxmlformats.org/officeDocument/2006/relationships/hyperlink" Target="group_pts\MatthewS1_group_pts.htm" TargetMode="External"/><Relationship Id="rId430" Type="http://schemas.openxmlformats.org/officeDocument/2006/relationships/hyperlink" Target="group_pts\Veejay_group_pts.htm" TargetMode="External"/><Relationship Id="rId668" Type="http://schemas.openxmlformats.org/officeDocument/2006/relationships/hyperlink" Target="predictions\StevenT.htm" TargetMode="External"/><Relationship Id="rId18" Type="http://schemas.openxmlformats.org/officeDocument/2006/relationships/hyperlink" Target="knockout_pts\Daisy_knockout_pts.htm" TargetMode="External"/><Relationship Id="rId528" Type="http://schemas.openxmlformats.org/officeDocument/2006/relationships/hyperlink" Target="predictions\JustinD.htm" TargetMode="External"/><Relationship Id="rId167" Type="http://schemas.openxmlformats.org/officeDocument/2006/relationships/hyperlink" Target="bonus_pts\Corey_bonus_pts.htm" TargetMode="External"/><Relationship Id="rId374" Type="http://schemas.openxmlformats.org/officeDocument/2006/relationships/hyperlink" Target="predictions\Magno.htm" TargetMode="External"/><Relationship Id="rId581" Type="http://schemas.openxmlformats.org/officeDocument/2006/relationships/hyperlink" Target="predictions\CMD88.htm" TargetMode="External"/><Relationship Id="rId71" Type="http://schemas.openxmlformats.org/officeDocument/2006/relationships/hyperlink" Target="knockout_pts\MatthewS2_knockout_pts.htm" TargetMode="External"/><Relationship Id="rId234" Type="http://schemas.openxmlformats.org/officeDocument/2006/relationships/hyperlink" Target="predictions\DougK.htm" TargetMode="External"/><Relationship Id="rId679" Type="http://schemas.openxmlformats.org/officeDocument/2006/relationships/hyperlink" Target="predictions\Wilson.htm" TargetMode="External"/><Relationship Id="rId2" Type="http://schemas.openxmlformats.org/officeDocument/2006/relationships/hyperlink" Target="knockout_pts\Ana_knockout_pts.htm" TargetMode="External"/><Relationship Id="rId29" Type="http://schemas.openxmlformats.org/officeDocument/2006/relationships/hyperlink" Target="group_pts\MichaelM_group_pts.htm" TargetMode="External"/><Relationship Id="rId441" Type="http://schemas.openxmlformats.org/officeDocument/2006/relationships/hyperlink" Target="bonus_pts\Nancy_bonus_pts.htm" TargetMode="External"/><Relationship Id="rId539" Type="http://schemas.openxmlformats.org/officeDocument/2006/relationships/hyperlink" Target="knockout_pts\Tanya_knockout_pts.htm" TargetMode="External"/><Relationship Id="rId178" Type="http://schemas.openxmlformats.org/officeDocument/2006/relationships/hyperlink" Target="group_pts\Damian_group_pts.htm" TargetMode="External"/><Relationship Id="rId301" Type="http://schemas.openxmlformats.org/officeDocument/2006/relationships/hyperlink" Target="knockout_pts\FrankI_knockout_pts.htm" TargetMode="External"/><Relationship Id="rId82" Type="http://schemas.openxmlformats.org/officeDocument/2006/relationships/hyperlink" Target="bonus_pts\Edsel_bonus_pts.htm" TargetMode="External"/><Relationship Id="rId385" Type="http://schemas.openxmlformats.org/officeDocument/2006/relationships/hyperlink" Target="predictions\MatthewM.htm" TargetMode="External"/><Relationship Id="rId592" Type="http://schemas.openxmlformats.org/officeDocument/2006/relationships/hyperlink" Target="predictions\Sher.htm" TargetMode="External"/><Relationship Id="rId606" Type="http://schemas.openxmlformats.org/officeDocument/2006/relationships/hyperlink" Target="knockout_pts\Aaron1_knockout_pts.htm" TargetMode="External"/><Relationship Id="rId245" Type="http://schemas.openxmlformats.org/officeDocument/2006/relationships/hyperlink" Target="knockout_pts\Elizabeth_knockout_pts.htm" TargetMode="External"/><Relationship Id="rId287" Type="http://schemas.openxmlformats.org/officeDocument/2006/relationships/hyperlink" Target="bonus_pts\MatthewS3_bonus_pts.htm" TargetMode="External"/><Relationship Id="rId410" Type="http://schemas.openxmlformats.org/officeDocument/2006/relationships/hyperlink" Target="knockout_pts\Lindsey_knockout_pts.htm" TargetMode="External"/><Relationship Id="rId452" Type="http://schemas.openxmlformats.org/officeDocument/2006/relationships/hyperlink" Target="group_pts\Riyad_group_pts.htm" TargetMode="External"/><Relationship Id="rId494" Type="http://schemas.openxmlformats.org/officeDocument/2006/relationships/hyperlink" Target="predictions\RobW.htm" TargetMode="External"/><Relationship Id="rId508" Type="http://schemas.openxmlformats.org/officeDocument/2006/relationships/hyperlink" Target="knockout_pts\Stallone1_knockout_pts.htm" TargetMode="External"/><Relationship Id="rId715" Type="http://schemas.openxmlformats.org/officeDocument/2006/relationships/hyperlink" Target="bonus_pts/Joanna_bonus_pts.htm" TargetMode="External"/><Relationship Id="rId105" Type="http://schemas.openxmlformats.org/officeDocument/2006/relationships/hyperlink" Target="group_pts\Brendan_group_pts.htm" TargetMode="External"/><Relationship Id="rId147" Type="http://schemas.openxmlformats.org/officeDocument/2006/relationships/hyperlink" Target="group_pts\Caroline_group_pts.htm" TargetMode="External"/><Relationship Id="rId312" Type="http://schemas.openxmlformats.org/officeDocument/2006/relationships/hyperlink" Target="group_pts\JeffS_group_pts.htm" TargetMode="External"/><Relationship Id="rId354" Type="http://schemas.openxmlformats.org/officeDocument/2006/relationships/hyperlink" Target="bonus_pts\Josh_bonus_pts.htm" TargetMode="External"/><Relationship Id="rId51" Type="http://schemas.openxmlformats.org/officeDocument/2006/relationships/hyperlink" Target="predictions\Nicole.htm" TargetMode="External"/><Relationship Id="rId93" Type="http://schemas.openxmlformats.org/officeDocument/2006/relationships/hyperlink" Target="bonus_pts\Alice_bonus_pts.htm" TargetMode="External"/><Relationship Id="rId189" Type="http://schemas.openxmlformats.org/officeDocument/2006/relationships/hyperlink" Target="knockout_pts\DannyL1_knockout_pts.htm" TargetMode="External"/><Relationship Id="rId396" Type="http://schemas.openxmlformats.org/officeDocument/2006/relationships/hyperlink" Target="group_pts\MatthewM_group_pts.htm" TargetMode="External"/><Relationship Id="rId561" Type="http://schemas.openxmlformats.org/officeDocument/2006/relationships/hyperlink" Target="knockout_pts\DinoD_knockout_pts.htm" TargetMode="External"/><Relationship Id="rId617" Type="http://schemas.openxmlformats.org/officeDocument/2006/relationships/hyperlink" Target="group_pts\Preto1_group_pts.htm" TargetMode="External"/><Relationship Id="rId659" Type="http://schemas.openxmlformats.org/officeDocument/2006/relationships/hyperlink" Target="group_pts\RichardMa2_group_pts.htm" TargetMode="External"/><Relationship Id="rId214" Type="http://schemas.openxmlformats.org/officeDocument/2006/relationships/hyperlink" Target="group_pts\DavidM_group_pts.htm" TargetMode="External"/><Relationship Id="rId256" Type="http://schemas.openxmlformats.org/officeDocument/2006/relationships/hyperlink" Target="predictions\Gary.htm" TargetMode="External"/><Relationship Id="rId298" Type="http://schemas.openxmlformats.org/officeDocument/2006/relationships/hyperlink" Target="group_pts\JeffB_group_pts.htm" TargetMode="External"/><Relationship Id="rId421" Type="http://schemas.openxmlformats.org/officeDocument/2006/relationships/hyperlink" Target="predictions\MikeD.htm" TargetMode="External"/><Relationship Id="rId463" Type="http://schemas.openxmlformats.org/officeDocument/2006/relationships/hyperlink" Target="predictions\RobT.htm" TargetMode="External"/><Relationship Id="rId519" Type="http://schemas.openxmlformats.org/officeDocument/2006/relationships/hyperlink" Target="predictions\Tanya.htm" TargetMode="External"/><Relationship Id="rId670" Type="http://schemas.openxmlformats.org/officeDocument/2006/relationships/hyperlink" Target="knockout_pts\StevenT_knockout_pts.htm" TargetMode="External"/><Relationship Id="rId116" Type="http://schemas.openxmlformats.org/officeDocument/2006/relationships/hyperlink" Target="knockout_pts\Arturo_knockout_pts.htm" TargetMode="External"/><Relationship Id="rId158" Type="http://schemas.openxmlformats.org/officeDocument/2006/relationships/hyperlink" Target="group_pts\ChrisP_group_pts.htm" TargetMode="External"/><Relationship Id="rId323" Type="http://schemas.openxmlformats.org/officeDocument/2006/relationships/hyperlink" Target="predictions\Hugo.htm" TargetMode="External"/><Relationship Id="rId530" Type="http://schemas.openxmlformats.org/officeDocument/2006/relationships/hyperlink" Target="group_pts\TonyM_group_pts.htm" TargetMode="External"/><Relationship Id="rId726" Type="http://schemas.openxmlformats.org/officeDocument/2006/relationships/hyperlink" Target="bonus_pts/Franco_bonus_pts.htm" TargetMode="External"/><Relationship Id="rId20" Type="http://schemas.openxmlformats.org/officeDocument/2006/relationships/hyperlink" Target="predictions\DerekD.htm" TargetMode="External"/><Relationship Id="rId62" Type="http://schemas.openxmlformats.org/officeDocument/2006/relationships/hyperlink" Target="predictions\Manley.htm" TargetMode="External"/><Relationship Id="rId365" Type="http://schemas.openxmlformats.org/officeDocument/2006/relationships/hyperlink" Target="knockout_pts\Kristian_knockout_pts.htm" TargetMode="External"/><Relationship Id="rId572" Type="http://schemas.openxmlformats.org/officeDocument/2006/relationships/hyperlink" Target="knockout_pts\Jimmy_knockout_pts.htm" TargetMode="External"/><Relationship Id="rId628" Type="http://schemas.openxmlformats.org/officeDocument/2006/relationships/hyperlink" Target="bonus_pts\Fabiola_bonus_pts.htm" TargetMode="External"/><Relationship Id="rId225" Type="http://schemas.openxmlformats.org/officeDocument/2006/relationships/hyperlink" Target="bonus_pts\MatthewS1_bonus_pts.htm" TargetMode="External"/><Relationship Id="rId267" Type="http://schemas.openxmlformats.org/officeDocument/2006/relationships/hyperlink" Target="group_pts\Heather_group_pts.htm" TargetMode="External"/><Relationship Id="rId432" Type="http://schemas.openxmlformats.org/officeDocument/2006/relationships/hyperlink" Target="group_pts\Nas_group_pts.htm" TargetMode="External"/><Relationship Id="rId474" Type="http://schemas.openxmlformats.org/officeDocument/2006/relationships/hyperlink" Target="predictions\PeterM.htm" TargetMode="External"/><Relationship Id="rId127" Type="http://schemas.openxmlformats.org/officeDocument/2006/relationships/hyperlink" Target="group_pts\Augie_group_pts.htm" TargetMode="External"/><Relationship Id="rId681" Type="http://schemas.openxmlformats.org/officeDocument/2006/relationships/hyperlink" Target="knockout_pts\Wilson_knockout_pts.htm" TargetMode="External"/><Relationship Id="rId31" Type="http://schemas.openxmlformats.org/officeDocument/2006/relationships/hyperlink" Target="bonus_pts\MichaelM_bonus_pts.htm" TargetMode="External"/><Relationship Id="rId73" Type="http://schemas.openxmlformats.org/officeDocument/2006/relationships/hyperlink" Target="group_pts\Gustavo_group_pts.htm" TargetMode="External"/><Relationship Id="rId169" Type="http://schemas.openxmlformats.org/officeDocument/2006/relationships/hyperlink" Target="predictions\Damian.htm" TargetMode="External"/><Relationship Id="rId334" Type="http://schemas.openxmlformats.org/officeDocument/2006/relationships/hyperlink" Target="group_pts\Jennifer_group_pts.htm" TargetMode="External"/><Relationship Id="rId376" Type="http://schemas.openxmlformats.org/officeDocument/2006/relationships/hyperlink" Target="knockout_pts\Magno_knockout_pts.htm" TargetMode="External"/><Relationship Id="rId541" Type="http://schemas.openxmlformats.org/officeDocument/2006/relationships/hyperlink" Target="knockout_pts\Trevor_knockout_pts.htm" TargetMode="External"/><Relationship Id="rId583" Type="http://schemas.openxmlformats.org/officeDocument/2006/relationships/hyperlink" Target="knockout_pts\CMD88_knockout_pts.htm" TargetMode="External"/><Relationship Id="rId639" Type="http://schemas.openxmlformats.org/officeDocument/2006/relationships/hyperlink" Target="bonus_pts\Mugwe_bonus_pts.htm" TargetMode="External"/><Relationship Id="rId4" Type="http://schemas.openxmlformats.org/officeDocument/2006/relationships/hyperlink" Target="predictions\Aban.htm" TargetMode="External"/><Relationship Id="rId180" Type="http://schemas.openxmlformats.org/officeDocument/2006/relationships/hyperlink" Target="group_pts\DannyL1_group_pts.htm" TargetMode="External"/><Relationship Id="rId236" Type="http://schemas.openxmlformats.org/officeDocument/2006/relationships/hyperlink" Target="predictions\Fernando.htm" TargetMode="External"/><Relationship Id="rId278" Type="http://schemas.openxmlformats.org/officeDocument/2006/relationships/hyperlink" Target="knockout_pts\Hernani_knockout_pts.htm" TargetMode="External"/><Relationship Id="rId401" Type="http://schemas.openxmlformats.org/officeDocument/2006/relationships/hyperlink" Target="knockout_pts\Major_knockout_pts.htm" TargetMode="External"/><Relationship Id="rId443" Type="http://schemas.openxmlformats.org/officeDocument/2006/relationships/hyperlink" Target="predictions\RichardMa1.htm" TargetMode="External"/><Relationship Id="rId650" Type="http://schemas.openxmlformats.org/officeDocument/2006/relationships/hyperlink" Target="bonus_pts\Simon_bonus_pts.htm" TargetMode="External"/><Relationship Id="rId303" Type="http://schemas.openxmlformats.org/officeDocument/2006/relationships/hyperlink" Target="knockout_pts\Jeannette_knockout_pts.htm" TargetMode="External"/><Relationship Id="rId485" Type="http://schemas.openxmlformats.org/officeDocument/2006/relationships/hyperlink" Target="bonus_pts\Sean_bonus_pts.htm" TargetMode="External"/><Relationship Id="rId692" Type="http://schemas.openxmlformats.org/officeDocument/2006/relationships/hyperlink" Target="bonus_pts/Ken_bonus_pts.htm" TargetMode="External"/><Relationship Id="rId706" Type="http://schemas.openxmlformats.org/officeDocument/2006/relationships/hyperlink" Target="bonus_pts/Heather_bonus_pts.htm" TargetMode="External"/><Relationship Id="rId42" Type="http://schemas.openxmlformats.org/officeDocument/2006/relationships/hyperlink" Target="knockout_pts\TonyS_knockout_pts.htm" TargetMode="External"/><Relationship Id="rId84" Type="http://schemas.openxmlformats.org/officeDocument/2006/relationships/hyperlink" Target="predictions\Alice.htm" TargetMode="External"/><Relationship Id="rId138" Type="http://schemas.openxmlformats.org/officeDocument/2006/relationships/hyperlink" Target="knockout_pts\ChrisK_knockout_pts.htm" TargetMode="External"/><Relationship Id="rId345" Type="http://schemas.openxmlformats.org/officeDocument/2006/relationships/hyperlink" Target="bonus_pts\Helio_bonus_pts.htm" TargetMode="External"/><Relationship Id="rId387" Type="http://schemas.openxmlformats.org/officeDocument/2006/relationships/hyperlink" Target="predictions\JustinL.htm" TargetMode="External"/><Relationship Id="rId510" Type="http://schemas.openxmlformats.org/officeDocument/2006/relationships/hyperlink" Target="knockout_pts\RobW_knockout_pts.htm" TargetMode="External"/><Relationship Id="rId552" Type="http://schemas.openxmlformats.org/officeDocument/2006/relationships/hyperlink" Target="bonus_pts\Tristan_bonus_pts.htm" TargetMode="External"/><Relationship Id="rId594" Type="http://schemas.openxmlformats.org/officeDocument/2006/relationships/hyperlink" Target="knockout_pts\Sher_knockout_pts.htm" TargetMode="External"/><Relationship Id="rId608" Type="http://schemas.openxmlformats.org/officeDocument/2006/relationships/hyperlink" Target="predictions\Vicki.htm" TargetMode="External"/><Relationship Id="rId191" Type="http://schemas.openxmlformats.org/officeDocument/2006/relationships/hyperlink" Target="knockout_pts\Darryll_knockout_pts.htm" TargetMode="External"/><Relationship Id="rId205" Type="http://schemas.openxmlformats.org/officeDocument/2006/relationships/hyperlink" Target="predictions\KevinC.htm" TargetMode="External"/><Relationship Id="rId247" Type="http://schemas.openxmlformats.org/officeDocument/2006/relationships/hyperlink" Target="knockout_pts\Fawzi_knockout_pts.htm" TargetMode="External"/><Relationship Id="rId412" Type="http://schemas.openxmlformats.org/officeDocument/2006/relationships/hyperlink" Target="bonus_pts\Major_bonus_pts.htm" TargetMode="External"/><Relationship Id="rId107" Type="http://schemas.openxmlformats.org/officeDocument/2006/relationships/hyperlink" Target="bonus_pts\Balbir_bonus_pts.htm" TargetMode="External"/><Relationship Id="rId289" Type="http://schemas.openxmlformats.org/officeDocument/2006/relationships/hyperlink" Target="predictions\FrankI.htm" TargetMode="External"/><Relationship Id="rId454" Type="http://schemas.openxmlformats.org/officeDocument/2006/relationships/hyperlink" Target="bonus_pts\Riyad_bonus_pts.htm" TargetMode="External"/><Relationship Id="rId496" Type="http://schemas.openxmlformats.org/officeDocument/2006/relationships/hyperlink" Target="predictions\Santiago.htm" TargetMode="External"/><Relationship Id="rId661" Type="http://schemas.openxmlformats.org/officeDocument/2006/relationships/hyperlink" Target="predictions\Sameer.htm" TargetMode="External"/><Relationship Id="rId717" Type="http://schemas.openxmlformats.org/officeDocument/2006/relationships/hyperlink" Target="bonus_pts/Jake_bonus_pts.htm" TargetMode="External"/><Relationship Id="rId11" Type="http://schemas.openxmlformats.org/officeDocument/2006/relationships/hyperlink" Target="bonus_pts\ChrisF_bonus_pts.htm" TargetMode="External"/><Relationship Id="rId53" Type="http://schemas.openxmlformats.org/officeDocument/2006/relationships/hyperlink" Target="knockout_pts\Nicole_knockout_pts.htm" TargetMode="External"/><Relationship Id="rId149" Type="http://schemas.openxmlformats.org/officeDocument/2006/relationships/hyperlink" Target="predictions\CarlosG.htm" TargetMode="External"/><Relationship Id="rId314" Type="http://schemas.openxmlformats.org/officeDocument/2006/relationships/hyperlink" Target="knockout_pts\JeffS_knockout_pts.htm" TargetMode="External"/><Relationship Id="rId356" Type="http://schemas.openxmlformats.org/officeDocument/2006/relationships/hyperlink" Target="group_pts\KevinJ_group_pts.htm" TargetMode="External"/><Relationship Id="rId398" Type="http://schemas.openxmlformats.org/officeDocument/2006/relationships/hyperlink" Target="group_pts\JustinL_group_pts.htm" TargetMode="External"/><Relationship Id="rId521" Type="http://schemas.openxmlformats.org/officeDocument/2006/relationships/hyperlink" Target="predictions\Trevor.htm" TargetMode="External"/><Relationship Id="rId563" Type="http://schemas.openxmlformats.org/officeDocument/2006/relationships/hyperlink" Target="predictions\Victer.htm" TargetMode="External"/><Relationship Id="rId619" Type="http://schemas.openxmlformats.org/officeDocument/2006/relationships/hyperlink" Target="bonus_pts\Preto1_bonus_pts.htm" TargetMode="External"/><Relationship Id="rId95" Type="http://schemas.openxmlformats.org/officeDocument/2006/relationships/hyperlink" Target="bonus_pts\Antonio_bonus_pts.htm" TargetMode="External"/><Relationship Id="rId160" Type="http://schemas.openxmlformats.org/officeDocument/2006/relationships/hyperlink" Target="group_pts\Rachel_group_pts.htm" TargetMode="External"/><Relationship Id="rId216" Type="http://schemas.openxmlformats.org/officeDocument/2006/relationships/hyperlink" Target="knockout_pts\Jake_knockout_pts.htm" TargetMode="External"/><Relationship Id="rId423" Type="http://schemas.openxmlformats.org/officeDocument/2006/relationships/hyperlink" Target="knockout_pts\MikeD_knockout_pts.htm" TargetMode="External"/><Relationship Id="rId258" Type="http://schemas.openxmlformats.org/officeDocument/2006/relationships/hyperlink" Target="predictions\Heather.htm" TargetMode="External"/><Relationship Id="rId465" Type="http://schemas.openxmlformats.org/officeDocument/2006/relationships/hyperlink" Target="knockout_pts\RobT_knockout_pts.htm" TargetMode="External"/><Relationship Id="rId630" Type="http://schemas.openxmlformats.org/officeDocument/2006/relationships/hyperlink" Target="group_pts\Cameron_group_pts.htm" TargetMode="External"/><Relationship Id="rId672" Type="http://schemas.openxmlformats.org/officeDocument/2006/relationships/hyperlink" Target="predictions\Shawn2.htm" TargetMode="External"/><Relationship Id="rId728" Type="http://schemas.openxmlformats.org/officeDocument/2006/relationships/drawing" Target="../drawings/drawing1.xml"/><Relationship Id="rId22" Type="http://schemas.openxmlformats.org/officeDocument/2006/relationships/hyperlink" Target="knockout_pts\DerekD_knockout_pts.htm" TargetMode="External"/><Relationship Id="rId64" Type="http://schemas.openxmlformats.org/officeDocument/2006/relationships/hyperlink" Target="knockout_pts\Manley_knockout_pts.htm" TargetMode="External"/><Relationship Id="rId118" Type="http://schemas.openxmlformats.org/officeDocument/2006/relationships/hyperlink" Target="predictions\Arturo.htm" TargetMode="External"/><Relationship Id="rId325" Type="http://schemas.openxmlformats.org/officeDocument/2006/relationships/hyperlink" Target="predictions\Ian.htm" TargetMode="External"/><Relationship Id="rId367" Type="http://schemas.openxmlformats.org/officeDocument/2006/relationships/hyperlink" Target="predictions\Kumar.htm" TargetMode="External"/><Relationship Id="rId532" Type="http://schemas.openxmlformats.org/officeDocument/2006/relationships/hyperlink" Target="group_pts\TonyH_group_pts.htm" TargetMode="External"/><Relationship Id="rId574" Type="http://schemas.openxmlformats.org/officeDocument/2006/relationships/hyperlink" Target="group_pts\KevinS_group_pts.htm" TargetMode="External"/><Relationship Id="rId171" Type="http://schemas.openxmlformats.org/officeDocument/2006/relationships/hyperlink" Target="predictions\DannyL1.htm" TargetMode="External"/><Relationship Id="rId227" Type="http://schemas.openxmlformats.org/officeDocument/2006/relationships/hyperlink" Target="predictions\EdwardL.htm" TargetMode="External"/><Relationship Id="rId269" Type="http://schemas.openxmlformats.org/officeDocument/2006/relationships/hyperlink" Target="group_pts\Hernani_group_pts.htm" TargetMode="External"/><Relationship Id="rId434" Type="http://schemas.openxmlformats.org/officeDocument/2006/relationships/hyperlink" Target="knockout_pts\Veejay_knockout_pts.htm" TargetMode="External"/><Relationship Id="rId476" Type="http://schemas.openxmlformats.org/officeDocument/2006/relationships/hyperlink" Target="knockout_pts\PeterM_knockout_pts.htm" TargetMode="External"/><Relationship Id="rId641" Type="http://schemas.openxmlformats.org/officeDocument/2006/relationships/hyperlink" Target="group_pts\Ken_group_pts.htm" TargetMode="External"/><Relationship Id="rId683" Type="http://schemas.openxmlformats.org/officeDocument/2006/relationships/hyperlink" Target="stats.htm" TargetMode="External"/><Relationship Id="rId33" Type="http://schemas.openxmlformats.org/officeDocument/2006/relationships/hyperlink" Target="group_pts\LiamM_group_pts.htm" TargetMode="External"/><Relationship Id="rId129" Type="http://schemas.openxmlformats.org/officeDocument/2006/relationships/hyperlink" Target="predictions\Baffour.htm" TargetMode="External"/><Relationship Id="rId280" Type="http://schemas.openxmlformats.org/officeDocument/2006/relationships/hyperlink" Target="knockout_pts\EricK_knockout_pts.htm" TargetMode="External"/><Relationship Id="rId336" Type="http://schemas.openxmlformats.org/officeDocument/2006/relationships/hyperlink" Target="group_pts\Joao_group_pts.htm" TargetMode="External"/><Relationship Id="rId501" Type="http://schemas.openxmlformats.org/officeDocument/2006/relationships/hyperlink" Target="group_pts\Stan_group_pts.htm" TargetMode="External"/><Relationship Id="rId543" Type="http://schemas.openxmlformats.org/officeDocument/2006/relationships/hyperlink" Target="knockout_pts\Tristan_knockout_pts.htm" TargetMode="External"/><Relationship Id="rId75" Type="http://schemas.openxmlformats.org/officeDocument/2006/relationships/hyperlink" Target="bonus_pts\Gustavo_bonus_pts.htm" TargetMode="External"/><Relationship Id="rId140" Type="http://schemas.openxmlformats.org/officeDocument/2006/relationships/hyperlink" Target="knockout_pts\Tom_knockout_pts.htm" TargetMode="External"/><Relationship Id="rId182" Type="http://schemas.openxmlformats.org/officeDocument/2006/relationships/hyperlink" Target="group_pts\Darryll_group_pts.htm" TargetMode="External"/><Relationship Id="rId378" Type="http://schemas.openxmlformats.org/officeDocument/2006/relationships/hyperlink" Target="predictions\Kyle.htm" TargetMode="External"/><Relationship Id="rId403" Type="http://schemas.openxmlformats.org/officeDocument/2006/relationships/hyperlink" Target="knockout_pts\JorgeT_knockout_pts.htm" TargetMode="External"/><Relationship Id="rId585" Type="http://schemas.openxmlformats.org/officeDocument/2006/relationships/hyperlink" Target="predictions\Soni.htm" TargetMode="External"/><Relationship Id="rId6" Type="http://schemas.openxmlformats.org/officeDocument/2006/relationships/hyperlink" Target="knockout_pts\Aban_knockout_pts.htm" TargetMode="External"/><Relationship Id="rId238" Type="http://schemas.openxmlformats.org/officeDocument/2006/relationships/hyperlink" Target="predictions\FrankD1.htm" TargetMode="External"/><Relationship Id="rId445" Type="http://schemas.openxmlformats.org/officeDocument/2006/relationships/hyperlink" Target="knockout_pts\RichardMa1_knockout_pts.htm" TargetMode="External"/><Relationship Id="rId487" Type="http://schemas.openxmlformats.org/officeDocument/2006/relationships/hyperlink" Target="group_pts\Rita_group_pts.htm" TargetMode="External"/><Relationship Id="rId610" Type="http://schemas.openxmlformats.org/officeDocument/2006/relationships/hyperlink" Target="knockout_pts\Vicki_knockout_pts.htm" TargetMode="External"/><Relationship Id="rId652" Type="http://schemas.openxmlformats.org/officeDocument/2006/relationships/hyperlink" Target="group_pts\Aaron2_group_pts.htm" TargetMode="External"/><Relationship Id="rId694" Type="http://schemas.openxmlformats.org/officeDocument/2006/relationships/hyperlink" Target="bonus_pts/NelsonP_bonus_pts.htm" TargetMode="External"/><Relationship Id="rId708" Type="http://schemas.openxmlformats.org/officeDocument/2006/relationships/hyperlink" Target="bonus_pts/Forbes_bonus_pts.htm" TargetMode="External"/><Relationship Id="rId291" Type="http://schemas.openxmlformats.org/officeDocument/2006/relationships/hyperlink" Target="predictions\Jeannette.htm" TargetMode="External"/><Relationship Id="rId305" Type="http://schemas.openxmlformats.org/officeDocument/2006/relationships/hyperlink" Target="knockout_pts\Gabriela_knockout_pts.htm" TargetMode="External"/><Relationship Id="rId347" Type="http://schemas.openxmlformats.org/officeDocument/2006/relationships/hyperlink" Target="bonus_pts\Ian_bonus_pts.htm" TargetMode="External"/><Relationship Id="rId512" Type="http://schemas.openxmlformats.org/officeDocument/2006/relationships/hyperlink" Target="knockout_pts\Santiago_knockout_pts.htm" TargetMode="External"/><Relationship Id="rId44" Type="http://schemas.openxmlformats.org/officeDocument/2006/relationships/hyperlink" Target="predictions\Shawn1.htm" TargetMode="External"/><Relationship Id="rId86" Type="http://schemas.openxmlformats.org/officeDocument/2006/relationships/hyperlink" Target="group_pts\Alex_group_pts.htm" TargetMode="External"/><Relationship Id="rId151" Type="http://schemas.openxmlformats.org/officeDocument/2006/relationships/hyperlink" Target="predictions\Tom.htm" TargetMode="External"/><Relationship Id="rId389" Type="http://schemas.openxmlformats.org/officeDocument/2006/relationships/hyperlink" Target="predictions\Luka.htm" TargetMode="External"/><Relationship Id="rId554" Type="http://schemas.openxmlformats.org/officeDocument/2006/relationships/hyperlink" Target="bonus_pts\Gavin_bonus_pts.htm" TargetMode="External"/><Relationship Id="rId596" Type="http://schemas.openxmlformats.org/officeDocument/2006/relationships/hyperlink" Target="predictions\DinoG.htm" TargetMode="External"/><Relationship Id="rId193" Type="http://schemas.openxmlformats.org/officeDocument/2006/relationships/hyperlink" Target="knockout_pts\DannyRa_knockout_pts.htm" TargetMode="External"/><Relationship Id="rId207" Type="http://schemas.openxmlformats.org/officeDocument/2006/relationships/hyperlink" Target="predictions\DougM.htm" TargetMode="External"/><Relationship Id="rId249" Type="http://schemas.openxmlformats.org/officeDocument/2006/relationships/hyperlink" Target="knockout_pts\FrankC_knockout_pts.htm" TargetMode="External"/><Relationship Id="rId414" Type="http://schemas.openxmlformats.org/officeDocument/2006/relationships/hyperlink" Target="bonus_pts\Stirling_bonus_pts.htm" TargetMode="External"/><Relationship Id="rId456" Type="http://schemas.openxmlformats.org/officeDocument/2006/relationships/hyperlink" Target="group_pts\Pardeep_group_pts.htm" TargetMode="External"/><Relationship Id="rId498" Type="http://schemas.openxmlformats.org/officeDocument/2006/relationships/hyperlink" Target="group_pts\RobertP_group_pts.htm" TargetMode="External"/><Relationship Id="rId621" Type="http://schemas.openxmlformats.org/officeDocument/2006/relationships/hyperlink" Target="group_pts\Ishaque_group_pts.htm" TargetMode="External"/><Relationship Id="rId663" Type="http://schemas.openxmlformats.org/officeDocument/2006/relationships/hyperlink" Target="knockout_pts\Sameer_knockout_pts.htm" TargetMode="External"/><Relationship Id="rId13" Type="http://schemas.openxmlformats.org/officeDocument/2006/relationships/hyperlink" Target="group_pts\Chrissy_group_pts.htm" TargetMode="External"/><Relationship Id="rId109" Type="http://schemas.openxmlformats.org/officeDocument/2006/relationships/hyperlink" Target="group_pts\Balbir_group_pts.htm" TargetMode="External"/><Relationship Id="rId260" Type="http://schemas.openxmlformats.org/officeDocument/2006/relationships/hyperlink" Target="predictions\Hernani.htm" TargetMode="External"/><Relationship Id="rId316" Type="http://schemas.openxmlformats.org/officeDocument/2006/relationships/hyperlink" Target="bonus_pts\JeffS_bonus_pts.htm" TargetMode="External"/><Relationship Id="rId523" Type="http://schemas.openxmlformats.org/officeDocument/2006/relationships/hyperlink" Target="predictions\Tristan.htm" TargetMode="External"/><Relationship Id="rId719" Type="http://schemas.openxmlformats.org/officeDocument/2006/relationships/hyperlink" Target="bonus_pts/Gabriela_bonus_pts.htm" TargetMode="External"/><Relationship Id="rId55" Type="http://schemas.openxmlformats.org/officeDocument/2006/relationships/hyperlink" Target="group_pts\MichaelP_group_pts.htm" TargetMode="External"/><Relationship Id="rId97" Type="http://schemas.openxmlformats.org/officeDocument/2006/relationships/hyperlink" Target="group_pts\Antonio_group_pts.htm" TargetMode="External"/><Relationship Id="rId120" Type="http://schemas.openxmlformats.org/officeDocument/2006/relationships/hyperlink" Target="bonus_pts\Baffour_bonus_pts.htm" TargetMode="External"/><Relationship Id="rId358" Type="http://schemas.openxmlformats.org/officeDocument/2006/relationships/hyperlink" Target="bonus_pts\KevinJ_bonus_pts.htm" TargetMode="External"/><Relationship Id="rId565" Type="http://schemas.openxmlformats.org/officeDocument/2006/relationships/hyperlink" Target="knockout_pts\Victer_knockout_pts.htm" TargetMode="External"/><Relationship Id="rId162" Type="http://schemas.openxmlformats.org/officeDocument/2006/relationships/hyperlink" Target="knockout_pts\ChrisP_knockout_pts.htm" TargetMode="External"/><Relationship Id="rId218" Type="http://schemas.openxmlformats.org/officeDocument/2006/relationships/hyperlink" Target="knockout_pts\Dashiel_knockout_pts.htm" TargetMode="External"/><Relationship Id="rId425" Type="http://schemas.openxmlformats.org/officeDocument/2006/relationships/hyperlink" Target="predictions\Veejay.htm" TargetMode="External"/><Relationship Id="rId467" Type="http://schemas.openxmlformats.org/officeDocument/2006/relationships/hyperlink" Target="predictions\Pedro.htm" TargetMode="External"/><Relationship Id="rId632" Type="http://schemas.openxmlformats.org/officeDocument/2006/relationships/hyperlink" Target="bonus_pts\Cameron_bonus_pts.htm" TargetMode="External"/><Relationship Id="rId271" Type="http://schemas.openxmlformats.org/officeDocument/2006/relationships/hyperlink" Target="group_pts\EricK_group_pts.htm" TargetMode="External"/><Relationship Id="rId674" Type="http://schemas.openxmlformats.org/officeDocument/2006/relationships/hyperlink" Target="knockout_pts\Shawn2_knockout_pts.htm" TargetMode="External"/><Relationship Id="rId24" Type="http://schemas.openxmlformats.org/officeDocument/2006/relationships/hyperlink" Target="predictions\EdwardT.htm" TargetMode="External"/><Relationship Id="rId66" Type="http://schemas.openxmlformats.org/officeDocument/2006/relationships/hyperlink" Target="predictions\James.htm" TargetMode="External"/><Relationship Id="rId131" Type="http://schemas.openxmlformats.org/officeDocument/2006/relationships/hyperlink" Target="bonus_pts\Carmen_bonus_pts.htm" TargetMode="External"/><Relationship Id="rId327" Type="http://schemas.openxmlformats.org/officeDocument/2006/relationships/hyperlink" Target="predictions\JorgeC.htm" TargetMode="External"/><Relationship Id="rId369" Type="http://schemas.openxmlformats.org/officeDocument/2006/relationships/hyperlink" Target="knockout_pts\Kumar_knockout_pts.htm" TargetMode="External"/><Relationship Id="rId534" Type="http://schemas.openxmlformats.org/officeDocument/2006/relationships/hyperlink" Target="group_pts\Rick_group_pts.htm" TargetMode="External"/><Relationship Id="rId576" Type="http://schemas.openxmlformats.org/officeDocument/2006/relationships/hyperlink" Target="bonus_pts\KevinS_bonus_pts.htm" TargetMode="External"/><Relationship Id="rId173" Type="http://schemas.openxmlformats.org/officeDocument/2006/relationships/hyperlink" Target="predictions\Darryll.htm" TargetMode="External"/><Relationship Id="rId229" Type="http://schemas.openxmlformats.org/officeDocument/2006/relationships/hyperlink" Target="group_pts\EdwardL_group_pts.htm" TargetMode="External"/><Relationship Id="rId380" Type="http://schemas.openxmlformats.org/officeDocument/2006/relationships/hyperlink" Target="predictions\Marcio.htm" TargetMode="External"/><Relationship Id="rId436" Type="http://schemas.openxmlformats.org/officeDocument/2006/relationships/hyperlink" Target="knockout_pts\Nancy_knockout_pts.htm" TargetMode="External"/><Relationship Id="rId601" Type="http://schemas.openxmlformats.org/officeDocument/2006/relationships/hyperlink" Target="group_pts\Scotty_group_pts.htm" TargetMode="External"/><Relationship Id="rId643" Type="http://schemas.openxmlformats.org/officeDocument/2006/relationships/hyperlink" Target="predictions\Yuri.htm" TargetMode="External"/><Relationship Id="rId240" Type="http://schemas.openxmlformats.org/officeDocument/2006/relationships/hyperlink" Target="group_pts\DougK_group_pts.htm" TargetMode="External"/><Relationship Id="rId478" Type="http://schemas.openxmlformats.org/officeDocument/2006/relationships/hyperlink" Target="predictions\Razi.htm" TargetMode="External"/><Relationship Id="rId685" Type="http://schemas.openxmlformats.org/officeDocument/2006/relationships/hyperlink" Target="bonus_pts/Michele_bonus_pts.htm" TargetMode="External"/><Relationship Id="rId35" Type="http://schemas.openxmlformats.org/officeDocument/2006/relationships/hyperlink" Target="bonus_pts\LiamM_bonus_pts.htm" TargetMode="External"/><Relationship Id="rId77" Type="http://schemas.openxmlformats.org/officeDocument/2006/relationships/hyperlink" Target="group_pts\Franco_group_pts.htm" TargetMode="External"/><Relationship Id="rId100" Type="http://schemas.openxmlformats.org/officeDocument/2006/relationships/hyperlink" Target="knockout_pts\Bert_knockout_pts.htm" TargetMode="External"/><Relationship Id="rId282" Type="http://schemas.openxmlformats.org/officeDocument/2006/relationships/hyperlink" Target="bonus_pts\Gary_bonus_pts.htm" TargetMode="External"/><Relationship Id="rId338" Type="http://schemas.openxmlformats.org/officeDocument/2006/relationships/hyperlink" Target="knockout_pts\Helio_knockout_pts.htm" TargetMode="External"/><Relationship Id="rId503" Type="http://schemas.openxmlformats.org/officeDocument/2006/relationships/hyperlink" Target="group_pts\RD22_group_pts.htm" TargetMode="External"/><Relationship Id="rId545" Type="http://schemas.openxmlformats.org/officeDocument/2006/relationships/hyperlink" Target="knockout_pts\Gavin_knockout_pts.htm" TargetMode="External"/><Relationship Id="rId587" Type="http://schemas.openxmlformats.org/officeDocument/2006/relationships/hyperlink" Target="knockout_pts\Soni_knockout_pts.htm" TargetMode="External"/><Relationship Id="rId710" Type="http://schemas.openxmlformats.org/officeDocument/2006/relationships/hyperlink" Target="bonus_pts/Stallone2_bonus_pts.htm" TargetMode="External"/><Relationship Id="rId8" Type="http://schemas.openxmlformats.org/officeDocument/2006/relationships/hyperlink" Target="predictions\ChrisF.htm" TargetMode="External"/><Relationship Id="rId142" Type="http://schemas.openxmlformats.org/officeDocument/2006/relationships/hyperlink" Target="group_pts\Carmen_group_pts.htm" TargetMode="External"/><Relationship Id="rId184" Type="http://schemas.openxmlformats.org/officeDocument/2006/relationships/hyperlink" Target="group_pts\DannyRa_group_pts.htm" TargetMode="External"/><Relationship Id="rId391" Type="http://schemas.openxmlformats.org/officeDocument/2006/relationships/hyperlink" Target="group_pts\Marcio_group_pts.htm" TargetMode="External"/><Relationship Id="rId405" Type="http://schemas.openxmlformats.org/officeDocument/2006/relationships/hyperlink" Target="knockout_pts\Marta_knockout_pts.htm" TargetMode="External"/><Relationship Id="rId447" Type="http://schemas.openxmlformats.org/officeDocument/2006/relationships/hyperlink" Target="predictions\PabloL.htm" TargetMode="External"/><Relationship Id="rId612" Type="http://schemas.openxmlformats.org/officeDocument/2006/relationships/hyperlink" Target="predictions\Preto2.htm" TargetMode="External"/><Relationship Id="rId251" Type="http://schemas.openxmlformats.org/officeDocument/2006/relationships/hyperlink" Target="bonus_pts\DougK_bonus_pts.htm" TargetMode="External"/><Relationship Id="rId489" Type="http://schemas.openxmlformats.org/officeDocument/2006/relationships/hyperlink" Target="bonus_pts\Rita_bonus_pts.htm" TargetMode="External"/><Relationship Id="rId654" Type="http://schemas.openxmlformats.org/officeDocument/2006/relationships/hyperlink" Target="bonus_pts\Aaron2_bonus_pts.htm" TargetMode="External"/><Relationship Id="rId696" Type="http://schemas.openxmlformats.org/officeDocument/2006/relationships/hyperlink" Target="bonus_pts/Rousse_bonus_pts.htm" TargetMode="External"/><Relationship Id="rId46" Type="http://schemas.openxmlformats.org/officeDocument/2006/relationships/hyperlink" Target="knockout_pts\Shawn1_knockout_pts.htm" TargetMode="External"/><Relationship Id="rId293" Type="http://schemas.openxmlformats.org/officeDocument/2006/relationships/hyperlink" Target="predictions\Gabriela.htm" TargetMode="External"/><Relationship Id="rId307" Type="http://schemas.openxmlformats.org/officeDocument/2006/relationships/hyperlink" Target="bonus_pts\Jeannette_bonus_pts.htm" TargetMode="External"/><Relationship Id="rId349" Type="http://schemas.openxmlformats.org/officeDocument/2006/relationships/hyperlink" Target="bonus_pts\JorgeC_bonus_pts.htm" TargetMode="External"/><Relationship Id="rId514" Type="http://schemas.openxmlformats.org/officeDocument/2006/relationships/hyperlink" Target="bonus_pts\RobertP_bonus_pts.htm" TargetMode="External"/><Relationship Id="rId556" Type="http://schemas.openxmlformats.org/officeDocument/2006/relationships/hyperlink" Target="bonus_pts\JustinD_bonus_pts.htm" TargetMode="External"/><Relationship Id="rId721" Type="http://schemas.openxmlformats.org/officeDocument/2006/relationships/hyperlink" Target="bonus_pts/Stan_bonus_pts.htm" TargetMode="External"/><Relationship Id="rId88" Type="http://schemas.openxmlformats.org/officeDocument/2006/relationships/hyperlink" Target="group_pts\Angelo_group_pts.htm" TargetMode="External"/><Relationship Id="rId111" Type="http://schemas.openxmlformats.org/officeDocument/2006/relationships/hyperlink" Target="bonus_pts\Ash_bonus_pts.htm" TargetMode="External"/><Relationship Id="rId153" Type="http://schemas.openxmlformats.org/officeDocument/2006/relationships/hyperlink" Target="predictions\Angel.htm" TargetMode="External"/><Relationship Id="rId195" Type="http://schemas.openxmlformats.org/officeDocument/2006/relationships/hyperlink" Target="knockout_pts\Isaac_knockout_pts.htm" TargetMode="External"/><Relationship Id="rId209" Type="http://schemas.openxmlformats.org/officeDocument/2006/relationships/hyperlink" Target="predictions\DavidM.htm" TargetMode="External"/><Relationship Id="rId360" Type="http://schemas.openxmlformats.org/officeDocument/2006/relationships/hyperlink" Target="group_pts\JohnC_group_pts.htm" TargetMode="External"/><Relationship Id="rId416" Type="http://schemas.openxmlformats.org/officeDocument/2006/relationships/hyperlink" Target="bonus_pts\JustinL_bonus_pts.htm" TargetMode="External"/><Relationship Id="rId598" Type="http://schemas.openxmlformats.org/officeDocument/2006/relationships/hyperlink" Target="knockout_pts\DinoG_knockout_pts.htm" TargetMode="External"/><Relationship Id="rId220" Type="http://schemas.openxmlformats.org/officeDocument/2006/relationships/hyperlink" Target="bonus_pts\DougM_bonus_pts.htm" TargetMode="External"/><Relationship Id="rId458" Type="http://schemas.openxmlformats.org/officeDocument/2006/relationships/hyperlink" Target="bonus_pts\Pardeep_bonus_pts.htm" TargetMode="External"/><Relationship Id="rId623" Type="http://schemas.openxmlformats.org/officeDocument/2006/relationships/hyperlink" Target="bonus_pts\Ishaque_bonus_pts.htm" TargetMode="External"/><Relationship Id="rId665" Type="http://schemas.openxmlformats.org/officeDocument/2006/relationships/hyperlink" Target="predictions\RobV.htm" TargetMode="External"/><Relationship Id="rId15" Type="http://schemas.openxmlformats.org/officeDocument/2006/relationships/hyperlink" Target="bonus_pts\Chrissy_bonus_pts.htm" TargetMode="External"/><Relationship Id="rId57" Type="http://schemas.openxmlformats.org/officeDocument/2006/relationships/hyperlink" Target="bonus_pts\MichaelP_bonus_pts.htm" TargetMode="External"/><Relationship Id="rId262" Type="http://schemas.openxmlformats.org/officeDocument/2006/relationships/hyperlink" Target="predictions\EricK.htm" TargetMode="External"/><Relationship Id="rId318" Type="http://schemas.openxmlformats.org/officeDocument/2006/relationships/hyperlink" Target="group_pts\Ricardo_group_pts.htm" TargetMode="External"/><Relationship Id="rId525" Type="http://schemas.openxmlformats.org/officeDocument/2006/relationships/hyperlink" Target="predictions\Gavin.htm" TargetMode="External"/><Relationship Id="rId567" Type="http://schemas.openxmlformats.org/officeDocument/2006/relationships/hyperlink" Target="knockout_pts\Nuno_knockout_pts.htm" TargetMode="External"/><Relationship Id="rId99" Type="http://schemas.openxmlformats.org/officeDocument/2006/relationships/hyperlink" Target="bonus_pts\Bert_bonus_pts.htm" TargetMode="External"/><Relationship Id="rId122" Type="http://schemas.openxmlformats.org/officeDocument/2006/relationships/hyperlink" Target="knockout_pts\DannyL2_knockout_pts.htm" TargetMode="External"/><Relationship Id="rId164" Type="http://schemas.openxmlformats.org/officeDocument/2006/relationships/hyperlink" Target="knockout_pts\Rachel_knockout_pts.htm" TargetMode="External"/><Relationship Id="rId371" Type="http://schemas.openxmlformats.org/officeDocument/2006/relationships/hyperlink" Target="group_pts\Kyle_group_pts.htm" TargetMode="External"/><Relationship Id="rId427" Type="http://schemas.openxmlformats.org/officeDocument/2006/relationships/hyperlink" Target="predictions\Nancy.htm" TargetMode="External"/><Relationship Id="rId469" Type="http://schemas.openxmlformats.org/officeDocument/2006/relationships/hyperlink" Target="knockout_pts\Pedro_knockout_pts.htm" TargetMode="External"/><Relationship Id="rId634" Type="http://schemas.openxmlformats.org/officeDocument/2006/relationships/hyperlink" Target="group_pts\Michiel_group_pts.htm" TargetMode="External"/><Relationship Id="rId676" Type="http://schemas.openxmlformats.org/officeDocument/2006/relationships/hyperlink" Target="predictions\Tanmay.htm" TargetMode="External"/><Relationship Id="rId26" Type="http://schemas.openxmlformats.org/officeDocument/2006/relationships/hyperlink" Target="knockout_pts\EdwardT_knockout_pts.htm" TargetMode="External"/><Relationship Id="rId231" Type="http://schemas.openxmlformats.org/officeDocument/2006/relationships/hyperlink" Target="knockout_pts\EdwardL_knockout_pts.htm" TargetMode="External"/><Relationship Id="rId273" Type="http://schemas.openxmlformats.org/officeDocument/2006/relationships/hyperlink" Target="knockout_pts\Joanna_knockout_pts.htm" TargetMode="External"/><Relationship Id="rId329" Type="http://schemas.openxmlformats.org/officeDocument/2006/relationships/hyperlink" Target="group_pts\Grosso_group_pts.htm" TargetMode="External"/><Relationship Id="rId480" Type="http://schemas.openxmlformats.org/officeDocument/2006/relationships/hyperlink" Target="knockout_pts\Razi_knockout_pts.htm" TargetMode="External"/><Relationship Id="rId536" Type="http://schemas.openxmlformats.org/officeDocument/2006/relationships/hyperlink" Target="group_pts\Roger_group_pts.htm" TargetMode="External"/><Relationship Id="rId701" Type="http://schemas.openxmlformats.org/officeDocument/2006/relationships/hyperlink" Target="bonus_pts/Maria_bonus_pts.htm" TargetMode="External"/><Relationship Id="rId68" Type="http://schemas.openxmlformats.org/officeDocument/2006/relationships/hyperlink" Target="knockout_pts\James_knockout_pts.htm" TargetMode="External"/><Relationship Id="rId133" Type="http://schemas.openxmlformats.org/officeDocument/2006/relationships/hyperlink" Target="bonus_pts\ChrisK_bonus_pts.htm" TargetMode="External"/><Relationship Id="rId175" Type="http://schemas.openxmlformats.org/officeDocument/2006/relationships/hyperlink" Target="predictions\DannyRa.htm" TargetMode="External"/><Relationship Id="rId340" Type="http://schemas.openxmlformats.org/officeDocument/2006/relationships/hyperlink" Target="knockout_pts\JohnR_knockout_pts.htm" TargetMode="External"/><Relationship Id="rId578" Type="http://schemas.openxmlformats.org/officeDocument/2006/relationships/hyperlink" Target="group_pts\LiamF_group_pts.htm" TargetMode="External"/><Relationship Id="rId200" Type="http://schemas.openxmlformats.org/officeDocument/2006/relationships/hyperlink" Target="bonus_pts\Darryll_bonus_pts.htm" TargetMode="External"/><Relationship Id="rId382" Type="http://schemas.openxmlformats.org/officeDocument/2006/relationships/hyperlink" Target="predictions\Maria.htm" TargetMode="External"/><Relationship Id="rId438" Type="http://schemas.openxmlformats.org/officeDocument/2006/relationships/hyperlink" Target="knockout_pts\NelsonP_knockout_pts.htm" TargetMode="External"/><Relationship Id="rId603" Type="http://schemas.openxmlformats.org/officeDocument/2006/relationships/hyperlink" Target="bonus_pts\Scotty_bonus_pts.htm" TargetMode="External"/><Relationship Id="rId645" Type="http://schemas.openxmlformats.org/officeDocument/2006/relationships/hyperlink" Target="knockout_pts\Yuri_knockout_pts.htm" TargetMode="External"/><Relationship Id="rId687" Type="http://schemas.openxmlformats.org/officeDocument/2006/relationships/hyperlink" Target="bonus_pts/Soni_bonus_pts.htm" TargetMode="External"/><Relationship Id="rId242" Type="http://schemas.openxmlformats.org/officeDocument/2006/relationships/hyperlink" Target="group_pts\Fernando_group_pts.htm" TargetMode="External"/><Relationship Id="rId284" Type="http://schemas.openxmlformats.org/officeDocument/2006/relationships/hyperlink" Target="bonus_pts\HelderA_bonus_pts.htm" TargetMode="External"/><Relationship Id="rId491" Type="http://schemas.openxmlformats.org/officeDocument/2006/relationships/hyperlink" Target="predictions\RobertS.htm" TargetMode="External"/><Relationship Id="rId505" Type="http://schemas.openxmlformats.org/officeDocument/2006/relationships/hyperlink" Target="group_pts\Teresa_group_pts.htm" TargetMode="External"/><Relationship Id="rId712" Type="http://schemas.openxmlformats.org/officeDocument/2006/relationships/hyperlink" Target="bonus_pts/Marta_bonus_pts.htm" TargetMode="External"/><Relationship Id="rId37" Type="http://schemas.openxmlformats.org/officeDocument/2006/relationships/hyperlink" Target="group_pts\Avix_group_pts.htm" TargetMode="External"/><Relationship Id="rId79" Type="http://schemas.openxmlformats.org/officeDocument/2006/relationships/hyperlink" Target="predictions\Edsel.htm" TargetMode="External"/><Relationship Id="rId102" Type="http://schemas.openxmlformats.org/officeDocument/2006/relationships/hyperlink" Target="predictions\Bert.htm" TargetMode="External"/><Relationship Id="rId144" Type="http://schemas.openxmlformats.org/officeDocument/2006/relationships/hyperlink" Target="group_pts\ChrisK_group_pts.htm" TargetMode="External"/><Relationship Id="rId547" Type="http://schemas.openxmlformats.org/officeDocument/2006/relationships/hyperlink" Target="knockout_pts\Michele_knockout_pts.htm" TargetMode="External"/><Relationship Id="rId589" Type="http://schemas.openxmlformats.org/officeDocument/2006/relationships/hyperlink" Target="group_pts\Alnashir_group_pts.htm" TargetMode="External"/><Relationship Id="rId90" Type="http://schemas.openxmlformats.org/officeDocument/2006/relationships/hyperlink" Target="knockout_pts\Alice_knockout_pts.htm" TargetMode="External"/><Relationship Id="rId186" Type="http://schemas.openxmlformats.org/officeDocument/2006/relationships/hyperlink" Target="group_pts\Isaac_group_pts.htm" TargetMode="External"/><Relationship Id="rId351" Type="http://schemas.openxmlformats.org/officeDocument/2006/relationships/hyperlink" Target="predictions\Josh.htm" TargetMode="External"/><Relationship Id="rId393" Type="http://schemas.openxmlformats.org/officeDocument/2006/relationships/hyperlink" Target="group_pts\Maria_group_pts.htm" TargetMode="External"/><Relationship Id="rId407" Type="http://schemas.openxmlformats.org/officeDocument/2006/relationships/hyperlink" Target="knockout_pts\MatthewM_knockout_pts.htm" TargetMode="External"/><Relationship Id="rId449" Type="http://schemas.openxmlformats.org/officeDocument/2006/relationships/hyperlink" Target="knockout_pts\PabloL_knockout_pts.htm" TargetMode="External"/><Relationship Id="rId614" Type="http://schemas.openxmlformats.org/officeDocument/2006/relationships/hyperlink" Target="knockout_pts\Preto2_knockout_pts.htm" TargetMode="External"/><Relationship Id="rId656" Type="http://schemas.openxmlformats.org/officeDocument/2006/relationships/hyperlink" Target="group_pts\Julian_group_pts.htm" TargetMode="External"/><Relationship Id="rId211" Type="http://schemas.openxmlformats.org/officeDocument/2006/relationships/hyperlink" Target="group_pts\Jake_group_pts.htm" TargetMode="External"/><Relationship Id="rId253" Type="http://schemas.openxmlformats.org/officeDocument/2006/relationships/hyperlink" Target="bonus_pts\FrankC_bonus_pts.htm" TargetMode="External"/><Relationship Id="rId295" Type="http://schemas.openxmlformats.org/officeDocument/2006/relationships/hyperlink" Target="group_pts\FrankI_group_pts.htm" TargetMode="External"/><Relationship Id="rId309" Type="http://schemas.openxmlformats.org/officeDocument/2006/relationships/hyperlink" Target="predictions\MichaelL.htm" TargetMode="External"/><Relationship Id="rId460" Type="http://schemas.openxmlformats.org/officeDocument/2006/relationships/hyperlink" Target="group_pts\RobSi_group_pts.htm" TargetMode="External"/><Relationship Id="rId516" Type="http://schemas.openxmlformats.org/officeDocument/2006/relationships/hyperlink" Target="bonus_pts\Stallone1_bonus_pts.htm" TargetMode="External"/><Relationship Id="rId698" Type="http://schemas.openxmlformats.org/officeDocument/2006/relationships/hyperlink" Target="bonus_pts/RichardMa2_bonus_pts.htm" TargetMode="External"/><Relationship Id="rId48" Type="http://schemas.openxmlformats.org/officeDocument/2006/relationships/hyperlink" Target="predictions\PaulC.htm" TargetMode="External"/><Relationship Id="rId113" Type="http://schemas.openxmlformats.org/officeDocument/2006/relationships/hyperlink" Target="group_pts\Ash_group_pts.htm" TargetMode="External"/><Relationship Id="rId320" Type="http://schemas.openxmlformats.org/officeDocument/2006/relationships/hyperlink" Target="bonus_pts\Ricardo_bonus_pts.htm" TargetMode="External"/><Relationship Id="rId558" Type="http://schemas.openxmlformats.org/officeDocument/2006/relationships/hyperlink" Target="group_pts\Nancy_group_pts.htm" TargetMode="External"/><Relationship Id="rId723" Type="http://schemas.openxmlformats.org/officeDocument/2006/relationships/hyperlink" Target="bonus_pts/Grosso_bonus_pts.htm" TargetMode="External"/><Relationship Id="rId155" Type="http://schemas.openxmlformats.org/officeDocument/2006/relationships/hyperlink" Target="predictions\Corey.htm" TargetMode="External"/><Relationship Id="rId197" Type="http://schemas.openxmlformats.org/officeDocument/2006/relationships/hyperlink" Target="bonus_pts\DanielM_bonus_pts.htm" TargetMode="External"/><Relationship Id="rId362" Type="http://schemas.openxmlformats.org/officeDocument/2006/relationships/hyperlink" Target="bonus_pts\JohnC_bonus_pts.htm" TargetMode="External"/><Relationship Id="rId418" Type="http://schemas.openxmlformats.org/officeDocument/2006/relationships/hyperlink" Target="predictions\Stallone2.htm" TargetMode="External"/><Relationship Id="rId625" Type="http://schemas.openxmlformats.org/officeDocument/2006/relationships/hyperlink" Target="predictions\Fabiola.htm" TargetMode="External"/><Relationship Id="rId222" Type="http://schemas.openxmlformats.org/officeDocument/2006/relationships/hyperlink" Target="predictions\MatthewS1.htm" TargetMode="External"/><Relationship Id="rId264" Type="http://schemas.openxmlformats.org/officeDocument/2006/relationships/hyperlink" Target="group_pts\Joanna_group_pts.htm" TargetMode="External"/><Relationship Id="rId471" Type="http://schemas.openxmlformats.org/officeDocument/2006/relationships/hyperlink" Target="group_pts\PeterB_group_pts.htm" TargetMode="External"/><Relationship Id="rId667" Type="http://schemas.openxmlformats.org/officeDocument/2006/relationships/hyperlink" Target="knockout_pts\RobV_knockout_pts.htm" TargetMode="External"/><Relationship Id="rId17" Type="http://schemas.openxmlformats.org/officeDocument/2006/relationships/hyperlink" Target="group_pts\Daisy_group_pts.htm" TargetMode="External"/><Relationship Id="rId59" Type="http://schemas.openxmlformats.org/officeDocument/2006/relationships/hyperlink" Target="group_pts\Manny_group_pts.htm" TargetMode="External"/><Relationship Id="rId124" Type="http://schemas.openxmlformats.org/officeDocument/2006/relationships/hyperlink" Target="knockout_pts\Augie_knockout_pts.htm" TargetMode="External"/><Relationship Id="rId527" Type="http://schemas.openxmlformats.org/officeDocument/2006/relationships/hyperlink" Target="predictions\Michele.htm" TargetMode="External"/><Relationship Id="rId569" Type="http://schemas.openxmlformats.org/officeDocument/2006/relationships/hyperlink" Target="predictions\Nuno.htm" TargetMode="External"/><Relationship Id="rId70" Type="http://schemas.openxmlformats.org/officeDocument/2006/relationships/hyperlink" Target="group_pts\MatthewS2_group_pts.htm" TargetMode="External"/><Relationship Id="rId166" Type="http://schemas.openxmlformats.org/officeDocument/2006/relationships/hyperlink" Target="bonus_pts\ChrisP_bonus_pts.htm" TargetMode="External"/><Relationship Id="rId331" Type="http://schemas.openxmlformats.org/officeDocument/2006/relationships/hyperlink" Target="group_pts\Hugo_group_pts.htm" TargetMode="External"/><Relationship Id="rId373" Type="http://schemas.openxmlformats.org/officeDocument/2006/relationships/hyperlink" Target="bonus_pts\Kyle_bonus_pts.htm" TargetMode="External"/><Relationship Id="rId429" Type="http://schemas.openxmlformats.org/officeDocument/2006/relationships/hyperlink" Target="predictions\NelsonP.htm" TargetMode="External"/><Relationship Id="rId580" Type="http://schemas.openxmlformats.org/officeDocument/2006/relationships/hyperlink" Target="bonus_pts\LiamF_bonus_pts.htm" TargetMode="External"/><Relationship Id="rId636" Type="http://schemas.openxmlformats.org/officeDocument/2006/relationships/hyperlink" Target="predictions\Mugwe.htm" TargetMode="External"/><Relationship Id="rId1" Type="http://schemas.openxmlformats.org/officeDocument/2006/relationships/hyperlink" Target="group_pts\Ana_group_pts.htm" TargetMode="External"/><Relationship Id="rId233" Type="http://schemas.openxmlformats.org/officeDocument/2006/relationships/hyperlink" Target="predictions\Elizabeth.htm" TargetMode="External"/><Relationship Id="rId440" Type="http://schemas.openxmlformats.org/officeDocument/2006/relationships/hyperlink" Target="bonus_pts\Mitchell_bonus_pts.htm" TargetMode="External"/><Relationship Id="rId678" Type="http://schemas.openxmlformats.org/officeDocument/2006/relationships/hyperlink" Target="knockout_pts\Tanmay_knockout_pts.htm" TargetMode="External"/><Relationship Id="rId28" Type="http://schemas.openxmlformats.org/officeDocument/2006/relationships/hyperlink" Target="predictions\MichaelM.htm" TargetMode="External"/><Relationship Id="rId275" Type="http://schemas.openxmlformats.org/officeDocument/2006/relationships/hyperlink" Target="knockout_pts\Dragon_knockout_pts.htm" TargetMode="External"/><Relationship Id="rId300" Type="http://schemas.openxmlformats.org/officeDocument/2006/relationships/hyperlink" Target="knockout_pts\Forbes_knockout_pts.htm" TargetMode="External"/><Relationship Id="rId482" Type="http://schemas.openxmlformats.org/officeDocument/2006/relationships/hyperlink" Target="predictions\Sean.htm" TargetMode="External"/><Relationship Id="rId538" Type="http://schemas.openxmlformats.org/officeDocument/2006/relationships/hyperlink" Target="group_pts\JustinD_group_pts.htm" TargetMode="External"/><Relationship Id="rId703" Type="http://schemas.openxmlformats.org/officeDocument/2006/relationships/hyperlink" Target="bonus_pts/KevinC_bonus_pts.htm" TargetMode="External"/><Relationship Id="rId81" Type="http://schemas.openxmlformats.org/officeDocument/2006/relationships/hyperlink" Target="knockout_pts\Edsel_knockout_pts.htm" TargetMode="External"/><Relationship Id="rId135" Type="http://schemas.openxmlformats.org/officeDocument/2006/relationships/hyperlink" Target="bonus_pts\Caroline_bonus_pts.htm" TargetMode="External"/><Relationship Id="rId177" Type="http://schemas.openxmlformats.org/officeDocument/2006/relationships/hyperlink" Target="predictions\Isaac.htm" TargetMode="External"/><Relationship Id="rId342" Type="http://schemas.openxmlformats.org/officeDocument/2006/relationships/hyperlink" Target="knockout_pts\Jennifer_knockout_pts.htm" TargetMode="External"/><Relationship Id="rId384" Type="http://schemas.openxmlformats.org/officeDocument/2006/relationships/hyperlink" Target="predictions\Stirling.htm" TargetMode="External"/><Relationship Id="rId591" Type="http://schemas.openxmlformats.org/officeDocument/2006/relationships/hyperlink" Target="bonus_pts\Alnashir_bonus_pts.htm" TargetMode="External"/><Relationship Id="rId605" Type="http://schemas.openxmlformats.org/officeDocument/2006/relationships/hyperlink" Target="group_pts\Aaron1_group_pts.htm" TargetMode="External"/><Relationship Id="rId202" Type="http://schemas.openxmlformats.org/officeDocument/2006/relationships/hyperlink" Target="bonus_pts\DannyRa_bonus_pts.htm" TargetMode="External"/><Relationship Id="rId244" Type="http://schemas.openxmlformats.org/officeDocument/2006/relationships/hyperlink" Target="group_pts\FrankD1_group_pts.htm" TargetMode="External"/><Relationship Id="rId647" Type="http://schemas.openxmlformats.org/officeDocument/2006/relationships/hyperlink" Target="predictions\Simon.htm" TargetMode="External"/><Relationship Id="rId689" Type="http://schemas.openxmlformats.org/officeDocument/2006/relationships/hyperlink" Target="bonus_pts/DavidM_bonus_pts.htm" TargetMode="External"/><Relationship Id="rId39" Type="http://schemas.openxmlformats.org/officeDocument/2006/relationships/hyperlink" Target="bonus_pts\Avix_bonus_pts.htm" TargetMode="External"/><Relationship Id="rId286" Type="http://schemas.openxmlformats.org/officeDocument/2006/relationships/hyperlink" Target="bonus_pts\EricK_bonus_pts.htm" TargetMode="External"/><Relationship Id="rId451" Type="http://schemas.openxmlformats.org/officeDocument/2006/relationships/hyperlink" Target="predictions\Riyad.htm" TargetMode="External"/><Relationship Id="rId493" Type="http://schemas.openxmlformats.org/officeDocument/2006/relationships/hyperlink" Target="predictions\Stan.htm" TargetMode="External"/><Relationship Id="rId507" Type="http://schemas.openxmlformats.org/officeDocument/2006/relationships/hyperlink" Target="knockout_pts\RobertS_knockout_pts.htm" TargetMode="External"/><Relationship Id="rId549" Type="http://schemas.openxmlformats.org/officeDocument/2006/relationships/hyperlink" Target="bonus_pts\Tanya_bonus_pts.htm" TargetMode="External"/><Relationship Id="rId714" Type="http://schemas.openxmlformats.org/officeDocument/2006/relationships/hyperlink" Target="bonus_pts/JohnR_bonus_pts.htm" TargetMode="External"/><Relationship Id="rId50" Type="http://schemas.openxmlformats.org/officeDocument/2006/relationships/hyperlink" Target="knockout_pts\PaulC_knockout_pts.htm" TargetMode="External"/><Relationship Id="rId104" Type="http://schemas.openxmlformats.org/officeDocument/2006/relationships/hyperlink" Target="knockout_pts\Brendan_knockout_pts.htm" TargetMode="External"/><Relationship Id="rId146" Type="http://schemas.openxmlformats.org/officeDocument/2006/relationships/hyperlink" Target="group_pts\Tom_group_pts.htm" TargetMode="External"/><Relationship Id="rId188" Type="http://schemas.openxmlformats.org/officeDocument/2006/relationships/hyperlink" Target="knockout_pts\DanielM_knockout_pts.htm" TargetMode="External"/><Relationship Id="rId311" Type="http://schemas.openxmlformats.org/officeDocument/2006/relationships/hyperlink" Target="group_pts\MichaelL_group_pts.htm" TargetMode="External"/><Relationship Id="rId353" Type="http://schemas.openxmlformats.org/officeDocument/2006/relationships/hyperlink" Target="knockout_pts\Josh_knockout_pts.htm" TargetMode="External"/><Relationship Id="rId395" Type="http://schemas.openxmlformats.org/officeDocument/2006/relationships/hyperlink" Target="group_pts\Stirling_group_pts.htm" TargetMode="External"/><Relationship Id="rId409" Type="http://schemas.openxmlformats.org/officeDocument/2006/relationships/hyperlink" Target="knockout_pts\JustinL_knockout_pts.htm" TargetMode="External"/><Relationship Id="rId560" Type="http://schemas.openxmlformats.org/officeDocument/2006/relationships/hyperlink" Target="group_pts\DinoD_group_pts.htm" TargetMode="External"/><Relationship Id="rId92" Type="http://schemas.openxmlformats.org/officeDocument/2006/relationships/hyperlink" Target="bonus_pts\Alex_bonus_pts.htm" TargetMode="External"/><Relationship Id="rId213" Type="http://schemas.openxmlformats.org/officeDocument/2006/relationships/hyperlink" Target="group_pts\Dashiel_group_pts.htm" TargetMode="External"/><Relationship Id="rId420" Type="http://schemas.openxmlformats.org/officeDocument/2006/relationships/hyperlink" Target="knockout_pts\Stallone2_knockout_pts.htm" TargetMode="External"/><Relationship Id="rId616" Type="http://schemas.openxmlformats.org/officeDocument/2006/relationships/hyperlink" Target="predictions\Preto1.htm" TargetMode="External"/><Relationship Id="rId658" Type="http://schemas.openxmlformats.org/officeDocument/2006/relationships/hyperlink" Target="predictions\RichardMa2.htm" TargetMode="External"/><Relationship Id="rId255" Type="http://schemas.openxmlformats.org/officeDocument/2006/relationships/hyperlink" Target="predictions\Joanna.htm" TargetMode="External"/><Relationship Id="rId297" Type="http://schemas.openxmlformats.org/officeDocument/2006/relationships/hyperlink" Target="group_pts\Jeannette_group_pts.htm" TargetMode="External"/><Relationship Id="rId462" Type="http://schemas.openxmlformats.org/officeDocument/2006/relationships/hyperlink" Target="bonus_pts\RobSi_bonus_pts.htm" TargetMode="External"/><Relationship Id="rId518" Type="http://schemas.openxmlformats.org/officeDocument/2006/relationships/hyperlink" Target="bonus_pts\Teresa_bonus_pts.htm" TargetMode="External"/><Relationship Id="rId725" Type="http://schemas.openxmlformats.org/officeDocument/2006/relationships/hyperlink" Target="bonus_pts/Luka_bonus_pts.htm" TargetMode="External"/><Relationship Id="rId115" Type="http://schemas.openxmlformats.org/officeDocument/2006/relationships/hyperlink" Target="bonus_pts\Arturo_bonus_pts.htm" TargetMode="External"/><Relationship Id="rId157" Type="http://schemas.openxmlformats.org/officeDocument/2006/relationships/hyperlink" Target="group_pts\Angel_group_pts.htm" TargetMode="External"/><Relationship Id="rId322" Type="http://schemas.openxmlformats.org/officeDocument/2006/relationships/hyperlink" Target="predictions\Helio.htm" TargetMode="External"/><Relationship Id="rId364" Type="http://schemas.openxmlformats.org/officeDocument/2006/relationships/hyperlink" Target="group_pts\Kristian_group_pts.htm" TargetMode="External"/><Relationship Id="rId61" Type="http://schemas.openxmlformats.org/officeDocument/2006/relationships/hyperlink" Target="bonus_pts\Manny_bonus_pts.htm" TargetMode="External"/><Relationship Id="rId199" Type="http://schemas.openxmlformats.org/officeDocument/2006/relationships/hyperlink" Target="bonus_pts\DannyL3_bonus_pts.htm" TargetMode="External"/><Relationship Id="rId571" Type="http://schemas.openxmlformats.org/officeDocument/2006/relationships/hyperlink" Target="group_pts\Jimmy_group_pts.htm" TargetMode="External"/><Relationship Id="rId627" Type="http://schemas.openxmlformats.org/officeDocument/2006/relationships/hyperlink" Target="knockout_pts\Fabiola_knockout_pts.htm" TargetMode="External"/><Relationship Id="rId669" Type="http://schemas.openxmlformats.org/officeDocument/2006/relationships/hyperlink" Target="group_pts\StevenT_group_pts.htm" TargetMode="External"/><Relationship Id="rId19" Type="http://schemas.openxmlformats.org/officeDocument/2006/relationships/hyperlink" Target="bonus_pts\Daisy_bonus_pts.htm" TargetMode="External"/><Relationship Id="rId224" Type="http://schemas.openxmlformats.org/officeDocument/2006/relationships/hyperlink" Target="knockout_pts\MatthewS1_knockout_pts.htm" TargetMode="External"/><Relationship Id="rId266" Type="http://schemas.openxmlformats.org/officeDocument/2006/relationships/hyperlink" Target="group_pts\Dragon_group_pts.htm" TargetMode="External"/><Relationship Id="rId431" Type="http://schemas.openxmlformats.org/officeDocument/2006/relationships/hyperlink" Target="group_pts\Mitchell_group_pts.htm" TargetMode="External"/><Relationship Id="rId473" Type="http://schemas.openxmlformats.org/officeDocument/2006/relationships/hyperlink" Target="bonus_pts\PeterB_bonus_pts.htm" TargetMode="External"/><Relationship Id="rId529" Type="http://schemas.openxmlformats.org/officeDocument/2006/relationships/hyperlink" Target="group_pts\Tanya_group_pts.htm" TargetMode="External"/><Relationship Id="rId680" Type="http://schemas.openxmlformats.org/officeDocument/2006/relationships/hyperlink" Target="group_pts\Wilson_group_pts.htm" TargetMode="External"/><Relationship Id="rId30" Type="http://schemas.openxmlformats.org/officeDocument/2006/relationships/hyperlink" Target="knockout_pts\MichaelM_knockout_pts.htm" TargetMode="External"/><Relationship Id="rId126" Type="http://schemas.openxmlformats.org/officeDocument/2006/relationships/hyperlink" Target="group_pts\Baffour_group_pts.htm" TargetMode="External"/><Relationship Id="rId168" Type="http://schemas.openxmlformats.org/officeDocument/2006/relationships/hyperlink" Target="bonus_pts\Rachel_bonus_pts.htm" TargetMode="External"/><Relationship Id="rId333" Type="http://schemas.openxmlformats.org/officeDocument/2006/relationships/hyperlink" Target="group_pts\Ian_group_pts.htm" TargetMode="External"/><Relationship Id="rId540" Type="http://schemas.openxmlformats.org/officeDocument/2006/relationships/hyperlink" Target="knockout_pts\TonyM_knockout_pts.htm" TargetMode="External"/><Relationship Id="rId72" Type="http://schemas.openxmlformats.org/officeDocument/2006/relationships/hyperlink" Target="predictions\Gustavo.htm" TargetMode="External"/><Relationship Id="rId375" Type="http://schemas.openxmlformats.org/officeDocument/2006/relationships/hyperlink" Target="group_pts\Magno_group_pts.htm" TargetMode="External"/><Relationship Id="rId582" Type="http://schemas.openxmlformats.org/officeDocument/2006/relationships/hyperlink" Target="group_pts\CMD88_group_pts.htm" TargetMode="External"/><Relationship Id="rId638" Type="http://schemas.openxmlformats.org/officeDocument/2006/relationships/hyperlink" Target="knockout_pts\Mugwe_knockout_pts.htm" TargetMode="External"/><Relationship Id="rId3" Type="http://schemas.openxmlformats.org/officeDocument/2006/relationships/hyperlink" Target="bonus_pts\Ana_bonus_pts.htm" TargetMode="External"/><Relationship Id="rId235" Type="http://schemas.openxmlformats.org/officeDocument/2006/relationships/hyperlink" Target="predictions\Fawzi.htm" TargetMode="External"/><Relationship Id="rId277" Type="http://schemas.openxmlformats.org/officeDocument/2006/relationships/hyperlink" Target="knockout_pts\HelderA_knockout_pts.htm" TargetMode="External"/><Relationship Id="rId400" Type="http://schemas.openxmlformats.org/officeDocument/2006/relationships/hyperlink" Target="group_pts\Luka_group_pts.htm" TargetMode="External"/><Relationship Id="rId442" Type="http://schemas.openxmlformats.org/officeDocument/2006/relationships/hyperlink" Target="bonus_pts\Nas_bonus_pts.htm" TargetMode="External"/><Relationship Id="rId484" Type="http://schemas.openxmlformats.org/officeDocument/2006/relationships/hyperlink" Target="knockout_pts\Sean_knockout_pts.htm" TargetMode="External"/><Relationship Id="rId705" Type="http://schemas.openxmlformats.org/officeDocument/2006/relationships/hyperlink" Target="bonus_pts/Jimmy_bonus_pts.htm" TargetMode="External"/><Relationship Id="rId137" Type="http://schemas.openxmlformats.org/officeDocument/2006/relationships/hyperlink" Target="knockout_pts\CarlosG_knockout_pts.htm" TargetMode="External"/><Relationship Id="rId302" Type="http://schemas.openxmlformats.org/officeDocument/2006/relationships/hyperlink" Target="knockout_pts\Janelle_knockout_pts.htm" TargetMode="External"/><Relationship Id="rId344" Type="http://schemas.openxmlformats.org/officeDocument/2006/relationships/hyperlink" Target="knockout_pts\Joao_knockout_pts.htm" TargetMode="External"/><Relationship Id="rId691" Type="http://schemas.openxmlformats.org/officeDocument/2006/relationships/hyperlink" Target="bonus_pts/Elizabeth_bonus_pts.htm" TargetMode="External"/><Relationship Id="rId41" Type="http://schemas.openxmlformats.org/officeDocument/2006/relationships/hyperlink" Target="group_pts\TonyS_group_pts.htm" TargetMode="External"/><Relationship Id="rId83" Type="http://schemas.openxmlformats.org/officeDocument/2006/relationships/hyperlink" Target="predictions\Alex.htm" TargetMode="External"/><Relationship Id="rId179" Type="http://schemas.openxmlformats.org/officeDocument/2006/relationships/hyperlink" Target="group_pts\DanielM_group_pts.htm" TargetMode="External"/><Relationship Id="rId386" Type="http://schemas.openxmlformats.org/officeDocument/2006/relationships/hyperlink" Target="predictions\FrankD2.htm" TargetMode="External"/><Relationship Id="rId551" Type="http://schemas.openxmlformats.org/officeDocument/2006/relationships/hyperlink" Target="bonus_pts\Trevor_bonus_pts.htm" TargetMode="External"/><Relationship Id="rId593" Type="http://schemas.openxmlformats.org/officeDocument/2006/relationships/hyperlink" Target="group_pts\Sher_group_pts.htm" TargetMode="External"/><Relationship Id="rId607" Type="http://schemas.openxmlformats.org/officeDocument/2006/relationships/hyperlink" Target="bonus_pts\Aaron1_bonus_pts.htm" TargetMode="External"/><Relationship Id="rId649" Type="http://schemas.openxmlformats.org/officeDocument/2006/relationships/hyperlink" Target="knockout_pts\Simon_knockout_pts.htm" TargetMode="External"/><Relationship Id="rId190" Type="http://schemas.openxmlformats.org/officeDocument/2006/relationships/hyperlink" Target="knockout_pts\DannyL3_knockout_pts.htm" TargetMode="External"/><Relationship Id="rId204" Type="http://schemas.openxmlformats.org/officeDocument/2006/relationships/hyperlink" Target="bonus_pts\Isaac_bonus_pts.htm" TargetMode="External"/><Relationship Id="rId246" Type="http://schemas.openxmlformats.org/officeDocument/2006/relationships/hyperlink" Target="knockout_pts\DougK_knockout_pts.htm" TargetMode="External"/><Relationship Id="rId288" Type="http://schemas.openxmlformats.org/officeDocument/2006/relationships/hyperlink" Target="predictions\Forbes.htm" TargetMode="External"/><Relationship Id="rId411" Type="http://schemas.openxmlformats.org/officeDocument/2006/relationships/hyperlink" Target="knockout_pts\Luka_knockout_pts.htm" TargetMode="External"/><Relationship Id="rId453" Type="http://schemas.openxmlformats.org/officeDocument/2006/relationships/hyperlink" Target="knockout_pts\Riyad_knockout_pts.htm" TargetMode="External"/><Relationship Id="rId509" Type="http://schemas.openxmlformats.org/officeDocument/2006/relationships/hyperlink" Target="knockout_pts\Stan_knockout_pts.htm" TargetMode="External"/><Relationship Id="rId660" Type="http://schemas.openxmlformats.org/officeDocument/2006/relationships/hyperlink" Target="knockout_pts\RichardMa2_knockout_pts.htm" TargetMode="External"/><Relationship Id="rId106" Type="http://schemas.openxmlformats.org/officeDocument/2006/relationships/hyperlink" Target="predictions\Brendan.htm" TargetMode="External"/><Relationship Id="rId313" Type="http://schemas.openxmlformats.org/officeDocument/2006/relationships/hyperlink" Target="knockout_pts\MichaelL_knockout_pts.htm" TargetMode="External"/><Relationship Id="rId495" Type="http://schemas.openxmlformats.org/officeDocument/2006/relationships/hyperlink" Target="predictions\RD22.htm" TargetMode="External"/><Relationship Id="rId716" Type="http://schemas.openxmlformats.org/officeDocument/2006/relationships/hyperlink" Target="bonus_pts/Janelle_bonus_pts.htm" TargetMode="External"/><Relationship Id="rId10" Type="http://schemas.openxmlformats.org/officeDocument/2006/relationships/hyperlink" Target="knockout_pts\ChrisF_knockout_pts.htm" TargetMode="External"/><Relationship Id="rId52" Type="http://schemas.openxmlformats.org/officeDocument/2006/relationships/hyperlink" Target="group_pts\Nicole_group_pts.htm" TargetMode="External"/><Relationship Id="rId94" Type="http://schemas.openxmlformats.org/officeDocument/2006/relationships/hyperlink" Target="bonus_pts\Angelo_bonus_pts.htm" TargetMode="External"/><Relationship Id="rId148" Type="http://schemas.openxmlformats.org/officeDocument/2006/relationships/hyperlink" Target="predictions\Carmen.htm" TargetMode="External"/><Relationship Id="rId355" Type="http://schemas.openxmlformats.org/officeDocument/2006/relationships/hyperlink" Target="predictions\KevinJ.htm" TargetMode="External"/><Relationship Id="rId397" Type="http://schemas.openxmlformats.org/officeDocument/2006/relationships/hyperlink" Target="group_pts\FrankD2_group_pts.htm" TargetMode="External"/><Relationship Id="rId520" Type="http://schemas.openxmlformats.org/officeDocument/2006/relationships/hyperlink" Target="predictions\TonyM.htm" TargetMode="External"/><Relationship Id="rId562" Type="http://schemas.openxmlformats.org/officeDocument/2006/relationships/hyperlink" Target="bonus_pts\DinoD_bonus_pts.htm" TargetMode="External"/><Relationship Id="rId618" Type="http://schemas.openxmlformats.org/officeDocument/2006/relationships/hyperlink" Target="knockout_pts\Preto1_knockout_pts.htm" TargetMode="External"/><Relationship Id="rId215" Type="http://schemas.openxmlformats.org/officeDocument/2006/relationships/hyperlink" Target="knockout_pts\KevinC_knockout_pts.htm" TargetMode="External"/><Relationship Id="rId257" Type="http://schemas.openxmlformats.org/officeDocument/2006/relationships/hyperlink" Target="predictions\Dragon.htm" TargetMode="External"/><Relationship Id="rId422" Type="http://schemas.openxmlformats.org/officeDocument/2006/relationships/hyperlink" Target="group_pts\MikeD_group_pts.htm" TargetMode="External"/><Relationship Id="rId464" Type="http://schemas.openxmlformats.org/officeDocument/2006/relationships/hyperlink" Target="group_pts\RobT_group_pts.htm" TargetMode="External"/><Relationship Id="rId299" Type="http://schemas.openxmlformats.org/officeDocument/2006/relationships/hyperlink" Target="group_pts\Gabriela_group_pts.htm" TargetMode="External"/><Relationship Id="rId727" Type="http://schemas.openxmlformats.org/officeDocument/2006/relationships/printerSettings" Target="../printerSettings/printerSettings1.bin"/><Relationship Id="rId63" Type="http://schemas.openxmlformats.org/officeDocument/2006/relationships/hyperlink" Target="group_pts\Manley_group_pts.htm" TargetMode="External"/><Relationship Id="rId159" Type="http://schemas.openxmlformats.org/officeDocument/2006/relationships/hyperlink" Target="group_pts\Corey_group_pts.htm" TargetMode="External"/><Relationship Id="rId366" Type="http://schemas.openxmlformats.org/officeDocument/2006/relationships/hyperlink" Target="bonus_pts\Kristian_bonus_pts.htm" TargetMode="External"/><Relationship Id="rId573" Type="http://schemas.openxmlformats.org/officeDocument/2006/relationships/hyperlink" Target="predictions\KevinS.htm" TargetMode="External"/><Relationship Id="rId226" Type="http://schemas.openxmlformats.org/officeDocument/2006/relationships/hyperlink" Target="predictions\Eduardo.htm" TargetMode="External"/><Relationship Id="rId433" Type="http://schemas.openxmlformats.org/officeDocument/2006/relationships/hyperlink" Target="group_pts\NelsonP_group_pts.htm" TargetMode="External"/><Relationship Id="rId640" Type="http://schemas.openxmlformats.org/officeDocument/2006/relationships/hyperlink" Target="predictions\Ken.htm" TargetMode="External"/><Relationship Id="rId74" Type="http://schemas.openxmlformats.org/officeDocument/2006/relationships/hyperlink" Target="knockout_pts\Gustavo_knockout_pts.htm" TargetMode="External"/><Relationship Id="rId377" Type="http://schemas.openxmlformats.org/officeDocument/2006/relationships/hyperlink" Target="bonus_pts\Magno_bonus_pts.htm" TargetMode="External"/><Relationship Id="rId500" Type="http://schemas.openxmlformats.org/officeDocument/2006/relationships/hyperlink" Target="group_pts\Stallone1_group_pts.htm" TargetMode="External"/><Relationship Id="rId584" Type="http://schemas.openxmlformats.org/officeDocument/2006/relationships/hyperlink" Target="bonus_pts\CMD88_bonus_pts.htm" TargetMode="External"/><Relationship Id="rId5" Type="http://schemas.openxmlformats.org/officeDocument/2006/relationships/hyperlink" Target="group_pts\Aban_group_pts.htm" TargetMode="External"/><Relationship Id="rId237" Type="http://schemas.openxmlformats.org/officeDocument/2006/relationships/hyperlink" Target="predictions\FrankC.htm" TargetMode="External"/><Relationship Id="rId444" Type="http://schemas.openxmlformats.org/officeDocument/2006/relationships/hyperlink" Target="group_pts\RichardMa1_group_pts.htm" TargetMode="External"/><Relationship Id="rId651" Type="http://schemas.openxmlformats.org/officeDocument/2006/relationships/hyperlink" Target="predictions\Aaron2.htm" TargetMode="External"/><Relationship Id="rId290" Type="http://schemas.openxmlformats.org/officeDocument/2006/relationships/hyperlink" Target="predictions\Janelle.htm" TargetMode="External"/><Relationship Id="rId304" Type="http://schemas.openxmlformats.org/officeDocument/2006/relationships/hyperlink" Target="knockout_pts\JeffB_knockout_pts.htm" TargetMode="External"/><Relationship Id="rId388" Type="http://schemas.openxmlformats.org/officeDocument/2006/relationships/hyperlink" Target="predictions\Lindsey.htm" TargetMode="External"/><Relationship Id="rId511" Type="http://schemas.openxmlformats.org/officeDocument/2006/relationships/hyperlink" Target="knockout_pts\RD22_knockout_pts.htm" TargetMode="External"/><Relationship Id="rId609" Type="http://schemas.openxmlformats.org/officeDocument/2006/relationships/hyperlink" Target="group_pts\Vicki_group_pts.htm" TargetMode="External"/><Relationship Id="rId85" Type="http://schemas.openxmlformats.org/officeDocument/2006/relationships/hyperlink" Target="predictions\Angelo.htm" TargetMode="External"/><Relationship Id="rId150" Type="http://schemas.openxmlformats.org/officeDocument/2006/relationships/hyperlink" Target="predictions\ChrisK.htm" TargetMode="External"/><Relationship Id="rId595" Type="http://schemas.openxmlformats.org/officeDocument/2006/relationships/hyperlink" Target="bonus_pts\Sher_bonus_pts.htm" TargetMode="External"/><Relationship Id="rId248" Type="http://schemas.openxmlformats.org/officeDocument/2006/relationships/hyperlink" Target="knockout_pts\Fernando_knockout_pts.htm" TargetMode="External"/><Relationship Id="rId455" Type="http://schemas.openxmlformats.org/officeDocument/2006/relationships/hyperlink" Target="predictions\Pardeep.htm" TargetMode="External"/><Relationship Id="rId662" Type="http://schemas.openxmlformats.org/officeDocument/2006/relationships/hyperlink" Target="group_pts\Sameer_group_pts.htm" TargetMode="External"/><Relationship Id="rId12" Type="http://schemas.openxmlformats.org/officeDocument/2006/relationships/hyperlink" Target="predictions\Chrissy.htm" TargetMode="External"/><Relationship Id="rId108" Type="http://schemas.openxmlformats.org/officeDocument/2006/relationships/hyperlink" Target="knockout_pts\Balbir_knockout_pts.htm" TargetMode="External"/><Relationship Id="rId315" Type="http://schemas.openxmlformats.org/officeDocument/2006/relationships/hyperlink" Target="bonus_pts\MichaelL_bonus_pts.htm" TargetMode="External"/><Relationship Id="rId522" Type="http://schemas.openxmlformats.org/officeDocument/2006/relationships/hyperlink" Target="predictions\TonyH.htm" TargetMode="External"/><Relationship Id="rId96" Type="http://schemas.openxmlformats.org/officeDocument/2006/relationships/hyperlink" Target="knockout_pts\Antonio_knockout_pts.htm" TargetMode="External"/><Relationship Id="rId161" Type="http://schemas.openxmlformats.org/officeDocument/2006/relationships/hyperlink" Target="knockout_pts\Angel_knockout_pts.htm" TargetMode="External"/><Relationship Id="rId399" Type="http://schemas.openxmlformats.org/officeDocument/2006/relationships/hyperlink" Target="group_pts\Lindsey_group_pts.htm" TargetMode="External"/><Relationship Id="rId259" Type="http://schemas.openxmlformats.org/officeDocument/2006/relationships/hyperlink" Target="predictions\HelderA.htm" TargetMode="External"/><Relationship Id="rId466" Type="http://schemas.openxmlformats.org/officeDocument/2006/relationships/hyperlink" Target="bonus_pts\RobT_bonus_pts.htm" TargetMode="External"/><Relationship Id="rId673" Type="http://schemas.openxmlformats.org/officeDocument/2006/relationships/hyperlink" Target="group_pts\Shawn2_group_pts.htm" TargetMode="External"/><Relationship Id="rId23" Type="http://schemas.openxmlformats.org/officeDocument/2006/relationships/hyperlink" Target="bonus_pts\DerekD_bonus_pts.htm" TargetMode="External"/><Relationship Id="rId119" Type="http://schemas.openxmlformats.org/officeDocument/2006/relationships/hyperlink" Target="bonus_pts\DannyL2_bonus_pts.htm" TargetMode="External"/><Relationship Id="rId326" Type="http://schemas.openxmlformats.org/officeDocument/2006/relationships/hyperlink" Target="predictions\Jennifer.htm" TargetMode="External"/><Relationship Id="rId533" Type="http://schemas.openxmlformats.org/officeDocument/2006/relationships/hyperlink" Target="group_pts\Tristan_group_pts.htm" TargetMode="External"/><Relationship Id="rId172" Type="http://schemas.openxmlformats.org/officeDocument/2006/relationships/hyperlink" Target="predictions\DannyL3.htm" TargetMode="External"/><Relationship Id="rId477" Type="http://schemas.openxmlformats.org/officeDocument/2006/relationships/hyperlink" Target="bonus_pts\PeterM_bonus_pts.htm" TargetMode="External"/><Relationship Id="rId600" Type="http://schemas.openxmlformats.org/officeDocument/2006/relationships/hyperlink" Target="predictions\Scotty.htm" TargetMode="External"/><Relationship Id="rId684" Type="http://schemas.openxmlformats.org/officeDocument/2006/relationships/hyperlink" Target="tallies.htm" TargetMode="External"/><Relationship Id="rId337" Type="http://schemas.openxmlformats.org/officeDocument/2006/relationships/hyperlink" Target="knockout_pts\Grosso_knockout_pts.htm" TargetMode="External"/><Relationship Id="rId34" Type="http://schemas.openxmlformats.org/officeDocument/2006/relationships/hyperlink" Target="knockout_pts\LiamM_knockout_pts.htm" TargetMode="External"/><Relationship Id="rId544" Type="http://schemas.openxmlformats.org/officeDocument/2006/relationships/hyperlink" Target="knockout_pts\Rick_knockout_pts.htm" TargetMode="External"/><Relationship Id="rId183" Type="http://schemas.openxmlformats.org/officeDocument/2006/relationships/hyperlink" Target="group_pts\Daryl_group_pts.htm" TargetMode="External"/><Relationship Id="rId390" Type="http://schemas.openxmlformats.org/officeDocument/2006/relationships/hyperlink" Target="group_pts\Major_group_pts.htm" TargetMode="External"/><Relationship Id="rId404" Type="http://schemas.openxmlformats.org/officeDocument/2006/relationships/hyperlink" Target="knockout_pts\Maria_knockout_pts.htm" TargetMode="External"/><Relationship Id="rId611" Type="http://schemas.openxmlformats.org/officeDocument/2006/relationships/hyperlink" Target="bonus_pts\Vicki_bonus_pts.htm" TargetMode="External"/><Relationship Id="rId250" Type="http://schemas.openxmlformats.org/officeDocument/2006/relationships/hyperlink" Target="knockout_pts\FrankD1_knockout_pts.htm" TargetMode="External"/><Relationship Id="rId488" Type="http://schemas.openxmlformats.org/officeDocument/2006/relationships/hyperlink" Target="knockout_pts\Rita_knockout_pts.htm" TargetMode="External"/><Relationship Id="rId695" Type="http://schemas.openxmlformats.org/officeDocument/2006/relationships/hyperlink" Target="bonus_pts/RD22_bonus_pts.htm" TargetMode="External"/><Relationship Id="rId709" Type="http://schemas.openxmlformats.org/officeDocument/2006/relationships/hyperlink" Target="bonus_pts/Tanmay_bonus_pts.htm" TargetMode="External"/><Relationship Id="rId45" Type="http://schemas.openxmlformats.org/officeDocument/2006/relationships/hyperlink" Target="group_pts\Shawn1_group_pts.htm" TargetMode="External"/><Relationship Id="rId110" Type="http://schemas.openxmlformats.org/officeDocument/2006/relationships/hyperlink" Target="predictions\Balbir.htm" TargetMode="External"/><Relationship Id="rId348" Type="http://schemas.openxmlformats.org/officeDocument/2006/relationships/hyperlink" Target="bonus_pts\Jennifer_bonus_pts.htm" TargetMode="External"/><Relationship Id="rId555" Type="http://schemas.openxmlformats.org/officeDocument/2006/relationships/hyperlink" Target="bonus_pts\Roger_bonus_pts.htm" TargetMode="External"/><Relationship Id="rId194" Type="http://schemas.openxmlformats.org/officeDocument/2006/relationships/hyperlink" Target="knockout_pts\DavidD_knockout_pts.htm" TargetMode="External"/><Relationship Id="rId208" Type="http://schemas.openxmlformats.org/officeDocument/2006/relationships/hyperlink" Target="predictions\Dashiel.htm" TargetMode="External"/><Relationship Id="rId415" Type="http://schemas.openxmlformats.org/officeDocument/2006/relationships/hyperlink" Target="bonus_pts\MatthewM_bonus_pts.htm" TargetMode="External"/><Relationship Id="rId622" Type="http://schemas.openxmlformats.org/officeDocument/2006/relationships/hyperlink" Target="knockout_pts\Ishaque_knockout_pts.htm" TargetMode="External"/><Relationship Id="rId261" Type="http://schemas.openxmlformats.org/officeDocument/2006/relationships/hyperlink" Target="predictions\Igor.htm" TargetMode="External"/><Relationship Id="rId499" Type="http://schemas.openxmlformats.org/officeDocument/2006/relationships/hyperlink" Target="group_pts\RobertS_group_pts.htm" TargetMode="External"/><Relationship Id="rId56" Type="http://schemas.openxmlformats.org/officeDocument/2006/relationships/hyperlink" Target="knockout_pts\MichaelP_knockout_pts.htm" TargetMode="External"/><Relationship Id="rId359" Type="http://schemas.openxmlformats.org/officeDocument/2006/relationships/hyperlink" Target="predictions\JohnC.htm" TargetMode="External"/><Relationship Id="rId566" Type="http://schemas.openxmlformats.org/officeDocument/2006/relationships/hyperlink" Target="bonus_pts\Nuno_bonus_pts.htm" TargetMode="External"/><Relationship Id="rId121" Type="http://schemas.openxmlformats.org/officeDocument/2006/relationships/hyperlink" Target="bonus_pts\Augie_bonus_pts.htm" TargetMode="External"/><Relationship Id="rId219" Type="http://schemas.openxmlformats.org/officeDocument/2006/relationships/hyperlink" Target="knockout_pts\DavidM_knockout_pts.htm" TargetMode="External"/><Relationship Id="rId426" Type="http://schemas.openxmlformats.org/officeDocument/2006/relationships/hyperlink" Target="predictions\Mitchell.htm" TargetMode="External"/><Relationship Id="rId633" Type="http://schemas.openxmlformats.org/officeDocument/2006/relationships/hyperlink" Target="predictions\Michiel.htm" TargetMode="External"/><Relationship Id="rId67" Type="http://schemas.openxmlformats.org/officeDocument/2006/relationships/hyperlink" Target="group_pts\James_group_pts.htm" TargetMode="External"/><Relationship Id="rId272" Type="http://schemas.openxmlformats.org/officeDocument/2006/relationships/hyperlink" Target="group_pts\MatthewS3_group_pts.htm" TargetMode="External"/><Relationship Id="rId577" Type="http://schemas.openxmlformats.org/officeDocument/2006/relationships/hyperlink" Target="predictions\LiamF.htm" TargetMode="External"/><Relationship Id="rId700" Type="http://schemas.openxmlformats.org/officeDocument/2006/relationships/hyperlink" Target="bonus_pts/PaulC_bonus_pts.htm" TargetMode="External"/><Relationship Id="rId132" Type="http://schemas.openxmlformats.org/officeDocument/2006/relationships/hyperlink" Target="bonus_pts\CarlosG_bonus_pts.htm" TargetMode="External"/><Relationship Id="rId437" Type="http://schemas.openxmlformats.org/officeDocument/2006/relationships/hyperlink" Target="knockout_pts\Nas_knockout_pts.htm" TargetMode="External"/><Relationship Id="rId644" Type="http://schemas.openxmlformats.org/officeDocument/2006/relationships/hyperlink" Target="group_pts\Yuri_group_pts.htm" TargetMode="External"/><Relationship Id="rId283" Type="http://schemas.openxmlformats.org/officeDocument/2006/relationships/hyperlink" Target="bonus_pts\Dragon_bonus_pts.htm" TargetMode="External"/><Relationship Id="rId490" Type="http://schemas.openxmlformats.org/officeDocument/2006/relationships/hyperlink" Target="predictions\RobertP.htm" TargetMode="External"/><Relationship Id="rId504" Type="http://schemas.openxmlformats.org/officeDocument/2006/relationships/hyperlink" Target="group_pts\Santiago_group_pts.htm" TargetMode="External"/><Relationship Id="rId711" Type="http://schemas.openxmlformats.org/officeDocument/2006/relationships/hyperlink" Target="bonus_pts/RobV_bonus_pts.htm" TargetMode="External"/><Relationship Id="rId78" Type="http://schemas.openxmlformats.org/officeDocument/2006/relationships/hyperlink" Target="knockout_pts\Franco_knockout_pts.htm" TargetMode="External"/><Relationship Id="rId143" Type="http://schemas.openxmlformats.org/officeDocument/2006/relationships/hyperlink" Target="group_pts\CarlosG_group_pts.htm" TargetMode="External"/><Relationship Id="rId350" Type="http://schemas.openxmlformats.org/officeDocument/2006/relationships/hyperlink" Target="bonus_pts\Joao_bonus_pts.htm" TargetMode="External"/><Relationship Id="rId588" Type="http://schemas.openxmlformats.org/officeDocument/2006/relationships/hyperlink" Target="predictions\Alnashir.htm" TargetMode="External"/><Relationship Id="rId9" Type="http://schemas.openxmlformats.org/officeDocument/2006/relationships/hyperlink" Target="group_pts\ChrisF_group_pts.htm" TargetMode="External"/><Relationship Id="rId210" Type="http://schemas.openxmlformats.org/officeDocument/2006/relationships/hyperlink" Target="group_pts\KevinC_group_pts.htm" TargetMode="External"/><Relationship Id="rId448" Type="http://schemas.openxmlformats.org/officeDocument/2006/relationships/hyperlink" Target="group_pts\PabloL_group_pts.htm" TargetMode="External"/><Relationship Id="rId655" Type="http://schemas.openxmlformats.org/officeDocument/2006/relationships/hyperlink" Target="predictions\Julian.htm" TargetMode="External"/><Relationship Id="rId294" Type="http://schemas.openxmlformats.org/officeDocument/2006/relationships/hyperlink" Target="group_pts\Forbes_group_pts.htm" TargetMode="External"/><Relationship Id="rId308" Type="http://schemas.openxmlformats.org/officeDocument/2006/relationships/hyperlink" Target="bonus_pts\JeffB_bonus_pts.htm" TargetMode="External"/><Relationship Id="rId515" Type="http://schemas.openxmlformats.org/officeDocument/2006/relationships/hyperlink" Target="bonus_pts\RobertS_bonus_pts.htm" TargetMode="External"/><Relationship Id="rId722" Type="http://schemas.openxmlformats.org/officeDocument/2006/relationships/hyperlink" Target="bonus_pts/James_bonus_pts.htm" TargetMode="External"/><Relationship Id="rId89" Type="http://schemas.openxmlformats.org/officeDocument/2006/relationships/hyperlink" Target="knockout_pts\Alex_knockout_pts.htm" TargetMode="External"/><Relationship Id="rId154" Type="http://schemas.openxmlformats.org/officeDocument/2006/relationships/hyperlink" Target="predictions\ChrisP.htm" TargetMode="External"/><Relationship Id="rId361" Type="http://schemas.openxmlformats.org/officeDocument/2006/relationships/hyperlink" Target="knockout_pts\JohnC_knockout_pts.htm" TargetMode="External"/><Relationship Id="rId599" Type="http://schemas.openxmlformats.org/officeDocument/2006/relationships/hyperlink" Target="bonus_pts\DinoG_bonus_pts.htm" TargetMode="External"/><Relationship Id="rId459" Type="http://schemas.openxmlformats.org/officeDocument/2006/relationships/hyperlink" Target="predictions\RobSi.htm" TargetMode="External"/><Relationship Id="rId666" Type="http://schemas.openxmlformats.org/officeDocument/2006/relationships/hyperlink" Target="group_pts\RobV_group_pts.htm" TargetMode="External"/><Relationship Id="rId16" Type="http://schemas.openxmlformats.org/officeDocument/2006/relationships/hyperlink" Target="predictions\Daisy.htm" TargetMode="External"/><Relationship Id="rId221" Type="http://schemas.openxmlformats.org/officeDocument/2006/relationships/hyperlink" Target="bonus_pts\Dashiel_bonus_pts.htm" TargetMode="External"/><Relationship Id="rId319" Type="http://schemas.openxmlformats.org/officeDocument/2006/relationships/hyperlink" Target="knockout_pts\Ricardo_knockout_pts.htm" TargetMode="External"/><Relationship Id="rId526" Type="http://schemas.openxmlformats.org/officeDocument/2006/relationships/hyperlink" Target="predictions\Roger.htm" TargetMode="External"/><Relationship Id="rId165" Type="http://schemas.openxmlformats.org/officeDocument/2006/relationships/hyperlink" Target="bonus_pts\Angel_bonus_pts.htm" TargetMode="External"/><Relationship Id="rId372" Type="http://schemas.openxmlformats.org/officeDocument/2006/relationships/hyperlink" Target="knockout_pts\Kyle_knockout_pts.htm" TargetMode="External"/><Relationship Id="rId677" Type="http://schemas.openxmlformats.org/officeDocument/2006/relationships/hyperlink" Target="group_pts\Tanmay_group_pts.htm" TargetMode="External"/><Relationship Id="rId232" Type="http://schemas.openxmlformats.org/officeDocument/2006/relationships/hyperlink" Target="bonus_pts\EdwardL_bonus_pts.htm" TargetMode="External"/><Relationship Id="rId27" Type="http://schemas.openxmlformats.org/officeDocument/2006/relationships/hyperlink" Target="bonus_pts\EdwardT_bonus_pts.htm" TargetMode="External"/><Relationship Id="rId537" Type="http://schemas.openxmlformats.org/officeDocument/2006/relationships/hyperlink" Target="group_pts\Michele_group_pts.htm" TargetMode="External"/><Relationship Id="rId80" Type="http://schemas.openxmlformats.org/officeDocument/2006/relationships/hyperlink" Target="group_pts\Edsel_group_pts.htm" TargetMode="External"/><Relationship Id="rId176" Type="http://schemas.openxmlformats.org/officeDocument/2006/relationships/hyperlink" Target="predictions\DavidD.htm" TargetMode="External"/><Relationship Id="rId383" Type="http://schemas.openxmlformats.org/officeDocument/2006/relationships/hyperlink" Target="predictions\Marta.htm" TargetMode="External"/><Relationship Id="rId590" Type="http://schemas.openxmlformats.org/officeDocument/2006/relationships/hyperlink" Target="knockout_pts\Alnashir_knockout_pts.htm" TargetMode="External"/><Relationship Id="rId604" Type="http://schemas.openxmlformats.org/officeDocument/2006/relationships/hyperlink" Target="predictions\Aaron1.htm" TargetMode="External"/><Relationship Id="rId243" Type="http://schemas.openxmlformats.org/officeDocument/2006/relationships/hyperlink" Target="group_pts\FrankC_group_pts.htm" TargetMode="External"/><Relationship Id="rId450" Type="http://schemas.openxmlformats.org/officeDocument/2006/relationships/hyperlink" Target="bonus_pts\PabloL_bonus_pts.htm" TargetMode="External"/><Relationship Id="rId688" Type="http://schemas.openxmlformats.org/officeDocument/2006/relationships/hyperlink" Target="bonus_pts/TonyH_bonus_pts.htm" TargetMode="External"/><Relationship Id="rId38" Type="http://schemas.openxmlformats.org/officeDocument/2006/relationships/hyperlink" Target="knockout_pts\Avix_knockout_pts.htm" TargetMode="External"/><Relationship Id="rId103" Type="http://schemas.openxmlformats.org/officeDocument/2006/relationships/hyperlink" Target="bonus_pts\Brendan_bonus_pts.htm" TargetMode="External"/><Relationship Id="rId310" Type="http://schemas.openxmlformats.org/officeDocument/2006/relationships/hyperlink" Target="predictions\JeffS.htm" TargetMode="External"/><Relationship Id="rId548" Type="http://schemas.openxmlformats.org/officeDocument/2006/relationships/hyperlink" Target="knockout_pts\JustinD_knockout_pts.htm" TargetMode="External"/><Relationship Id="rId91" Type="http://schemas.openxmlformats.org/officeDocument/2006/relationships/hyperlink" Target="knockout_pts\Angelo_knockout_pts.htm" TargetMode="External"/><Relationship Id="rId187" Type="http://schemas.openxmlformats.org/officeDocument/2006/relationships/hyperlink" Target="knockout_pts\Damian_knockout_pts.htm" TargetMode="External"/><Relationship Id="rId394" Type="http://schemas.openxmlformats.org/officeDocument/2006/relationships/hyperlink" Target="group_pts\Marta_group_pts.htm" TargetMode="External"/><Relationship Id="rId408" Type="http://schemas.openxmlformats.org/officeDocument/2006/relationships/hyperlink" Target="knockout_pts\FrankD2_knockout_pts.htm" TargetMode="External"/><Relationship Id="rId615" Type="http://schemas.openxmlformats.org/officeDocument/2006/relationships/hyperlink" Target="bonus_pts\Preto2_bonus_pts.htm" TargetMode="External"/><Relationship Id="rId254" Type="http://schemas.openxmlformats.org/officeDocument/2006/relationships/hyperlink" Target="bonus_pts\FrankD1_bonus_pts.htm" TargetMode="External"/><Relationship Id="rId699" Type="http://schemas.openxmlformats.org/officeDocument/2006/relationships/hyperlink" Target="bonus_pts\Santiago_bonus_pts.htm" TargetMode="External"/><Relationship Id="rId49" Type="http://schemas.openxmlformats.org/officeDocument/2006/relationships/hyperlink" Target="group_pts\PaulC_group_pts.htm" TargetMode="External"/><Relationship Id="rId114" Type="http://schemas.openxmlformats.org/officeDocument/2006/relationships/hyperlink" Target="predictions\Ash.htm" TargetMode="External"/><Relationship Id="rId461" Type="http://schemas.openxmlformats.org/officeDocument/2006/relationships/hyperlink" Target="knockout_pts\RobSi_knockout_pts.htm" TargetMode="External"/><Relationship Id="rId559" Type="http://schemas.openxmlformats.org/officeDocument/2006/relationships/hyperlink" Target="predictions\DinoD.htm" TargetMode="External"/><Relationship Id="rId198" Type="http://schemas.openxmlformats.org/officeDocument/2006/relationships/hyperlink" Target="bonus_pts\DannyL1_bonus_pts.htm" TargetMode="External"/><Relationship Id="rId321" Type="http://schemas.openxmlformats.org/officeDocument/2006/relationships/hyperlink" Target="predictions\Grosso.htm" TargetMode="External"/><Relationship Id="rId419" Type="http://schemas.openxmlformats.org/officeDocument/2006/relationships/hyperlink" Target="group_pts\Stallone2_group_pts.htm" TargetMode="External"/><Relationship Id="rId626" Type="http://schemas.openxmlformats.org/officeDocument/2006/relationships/hyperlink" Target="group_pts\Fabiola_group_pts.htm" TargetMode="External"/><Relationship Id="rId265" Type="http://schemas.openxmlformats.org/officeDocument/2006/relationships/hyperlink" Target="group_pts\Gary_group_pts.htm" TargetMode="External"/><Relationship Id="rId472" Type="http://schemas.openxmlformats.org/officeDocument/2006/relationships/hyperlink" Target="knockout_pts\PeterB_knockout_pts.htm" TargetMode="External"/><Relationship Id="rId125" Type="http://schemas.openxmlformats.org/officeDocument/2006/relationships/hyperlink" Target="group_pts\DannyL2_group_pts.htm" TargetMode="External"/><Relationship Id="rId332" Type="http://schemas.openxmlformats.org/officeDocument/2006/relationships/hyperlink" Target="group_pts\JohnR_group_pts.htm" TargetMode="External"/><Relationship Id="rId637" Type="http://schemas.openxmlformats.org/officeDocument/2006/relationships/hyperlink" Target="group_pts\Mugwe_group_pts.htm" TargetMode="External"/><Relationship Id="rId276" Type="http://schemas.openxmlformats.org/officeDocument/2006/relationships/hyperlink" Target="knockout_pts\Heather_knockout_pts.htm" TargetMode="External"/><Relationship Id="rId483" Type="http://schemas.openxmlformats.org/officeDocument/2006/relationships/hyperlink" Target="group_pts\Sean_group_pts.htm" TargetMode="External"/><Relationship Id="rId690" Type="http://schemas.openxmlformats.org/officeDocument/2006/relationships/hyperlink" Target="bonus_pts/Eduardo_bonus_pts.htm" TargetMode="External"/><Relationship Id="rId704" Type="http://schemas.openxmlformats.org/officeDocument/2006/relationships/hyperlink" Target="bonus_pts/Julian_bonus_pts.htm" TargetMode="External"/><Relationship Id="rId40" Type="http://schemas.openxmlformats.org/officeDocument/2006/relationships/hyperlink" Target="predictions\TonyS.htm" TargetMode="External"/><Relationship Id="rId136" Type="http://schemas.openxmlformats.org/officeDocument/2006/relationships/hyperlink" Target="knockout_pts\Carmen_knockout_pts.htm" TargetMode="External"/><Relationship Id="rId343" Type="http://schemas.openxmlformats.org/officeDocument/2006/relationships/hyperlink" Target="knockout_pts\JorgeC_knockout_pts.htm" TargetMode="External"/><Relationship Id="rId550" Type="http://schemas.openxmlformats.org/officeDocument/2006/relationships/hyperlink" Target="bonus_pts\TonyM_bonus_pts.htm" TargetMode="External"/><Relationship Id="rId203" Type="http://schemas.openxmlformats.org/officeDocument/2006/relationships/hyperlink" Target="bonus_pts\DavidD_bonus_pts.htm" TargetMode="External"/><Relationship Id="rId648" Type="http://schemas.openxmlformats.org/officeDocument/2006/relationships/hyperlink" Target="group_pts\Simon_group_pts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\wc2022\index.htm" TargetMode="External"/><Relationship Id="rId1" Type="http://schemas.openxmlformats.org/officeDocument/2006/relationships/hyperlink" Target="\wc2018\index.ht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PreviousPools\wc2014\wc2014.htm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PreviousPools\wc2018\index.htm" TargetMode="External"/><Relationship Id="rId1" Type="http://schemas.openxmlformats.org/officeDocument/2006/relationships/hyperlink" Target="PreviousPools\euro2020\index.htm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PreviousPools\wc2010\index.htm" TargetMode="External"/><Relationship Id="rId4" Type="http://schemas.openxmlformats.org/officeDocument/2006/relationships/hyperlink" Target="PreviousPools\euro2012\index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202"/>
  <sheetViews>
    <sheetView showGridLines="0" tabSelected="1" zoomScaleNormal="100" workbookViewId="0">
      <selection activeCell="G1" sqref="G1"/>
    </sheetView>
  </sheetViews>
  <sheetFormatPr defaultRowHeight="12.75" x14ac:dyDescent="0.2"/>
  <cols>
    <col min="1" max="4" width="1.42578125" customWidth="1"/>
    <col min="5" max="8" width="4.28515625" customWidth="1"/>
    <col min="9" max="9" width="2.7109375" customWidth="1"/>
    <col min="10" max="10" width="6.28515625" customWidth="1"/>
    <col min="11" max="11" width="8.42578125" bestFit="1" customWidth="1"/>
    <col min="12" max="12" width="20.140625" bestFit="1" customWidth="1"/>
    <col min="13" max="13" width="6.28515625" customWidth="1"/>
    <col min="14" max="14" width="11.140625" customWidth="1"/>
    <col min="15" max="16" width="10.28515625" customWidth="1"/>
    <col min="17" max="17" width="11" customWidth="1"/>
    <col min="18" max="18" width="10" customWidth="1"/>
    <col min="19" max="19" width="3.140625" customWidth="1"/>
    <col min="20" max="21" width="3.5703125" customWidth="1"/>
    <col min="22" max="22" width="1.7109375" customWidth="1"/>
    <col min="23" max="24" width="3.5703125" customWidth="1"/>
    <col min="25" max="25" width="1.7109375" customWidth="1"/>
    <col min="26" max="27" width="3.5703125" customWidth="1"/>
    <col min="28" max="28" width="1.7109375" customWidth="1"/>
    <col min="29" max="30" width="3.5703125" customWidth="1"/>
    <col min="31" max="31" width="5.7109375" customWidth="1"/>
    <col min="32" max="37" width="4.28515625" customWidth="1"/>
  </cols>
  <sheetData>
    <row r="1" spans="1:37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2" customHeight="1" x14ac:dyDescent="0.2">
      <c r="A2" s="120"/>
      <c r="B2" s="120"/>
      <c r="C2" s="120"/>
      <c r="D2" s="120"/>
      <c r="E2" s="120"/>
      <c r="F2" s="120"/>
      <c r="G2" s="120"/>
      <c r="H2" s="120"/>
      <c r="I2" s="120"/>
      <c r="J2" s="1"/>
      <c r="K2" s="128" t="s">
        <v>247</v>
      </c>
      <c r="L2" s="128"/>
      <c r="M2" s="128"/>
      <c r="N2" s="128"/>
      <c r="O2" s="128"/>
      <c r="P2" s="128"/>
      <c r="Q2" s="128"/>
      <c r="R2" s="128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2" customHeight="1" x14ac:dyDescent="0.2">
      <c r="A3" s="120"/>
      <c r="B3" s="120"/>
      <c r="C3" s="120"/>
      <c r="D3" s="120"/>
      <c r="E3" s="120"/>
      <c r="F3" s="120"/>
      <c r="G3" s="120"/>
      <c r="H3" s="120"/>
      <c r="I3" s="120"/>
      <c r="J3" s="1"/>
      <c r="K3" s="128"/>
      <c r="L3" s="128"/>
      <c r="M3" s="128"/>
      <c r="N3" s="128"/>
      <c r="O3" s="128"/>
      <c r="P3" s="128"/>
      <c r="Q3" s="128"/>
      <c r="R3" s="128"/>
      <c r="S3" s="1"/>
      <c r="T3" s="126" t="s">
        <v>366</v>
      </c>
      <c r="U3" s="126"/>
      <c r="V3" s="126"/>
      <c r="W3" s="126"/>
      <c r="X3" s="126"/>
      <c r="Y3" s="126"/>
      <c r="Z3" s="126"/>
      <c r="AA3" s="126"/>
      <c r="AB3" s="126"/>
      <c r="AC3" s="126"/>
      <c r="AD3" s="126"/>
      <c r="AF3" s="99"/>
      <c r="AG3" s="99"/>
      <c r="AH3" s="99"/>
      <c r="AI3" s="99"/>
      <c r="AJ3" s="99"/>
      <c r="AK3" s="99"/>
    </row>
    <row r="4" spans="1:37" ht="12.75" customHeight="1" x14ac:dyDescent="0.2">
      <c r="A4" s="116"/>
      <c r="B4" s="117"/>
      <c r="C4" s="117"/>
      <c r="D4" s="117"/>
      <c r="E4" s="117"/>
      <c r="F4" s="117"/>
      <c r="G4" s="117"/>
      <c r="H4" s="117"/>
      <c r="I4" s="2"/>
      <c r="J4" s="2"/>
      <c r="K4" s="128"/>
      <c r="L4" s="128"/>
      <c r="M4" s="128"/>
      <c r="N4" s="128"/>
      <c r="O4" s="128"/>
      <c r="P4" s="128"/>
      <c r="Q4" s="128"/>
      <c r="R4" s="128"/>
      <c r="S4" s="4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2"/>
      <c r="AF4" s="2"/>
      <c r="AG4" s="2"/>
      <c r="AH4" s="2"/>
      <c r="AI4" s="2"/>
      <c r="AJ4" s="2"/>
      <c r="AK4" s="2"/>
    </row>
    <row r="5" spans="1:37" ht="12" customHeight="1" x14ac:dyDescent="0.2">
      <c r="I5" s="2"/>
      <c r="J5" s="2"/>
      <c r="K5" s="128"/>
      <c r="L5" s="128"/>
      <c r="M5" s="128"/>
      <c r="N5" s="128"/>
      <c r="O5" s="128"/>
      <c r="P5" s="128"/>
      <c r="Q5" s="128"/>
      <c r="R5" s="128"/>
      <c r="S5" s="5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6"/>
      <c r="AF5" s="2"/>
      <c r="AG5" s="2"/>
      <c r="AH5" s="2"/>
      <c r="AI5" s="2"/>
      <c r="AJ5" s="2"/>
      <c r="AK5" s="2"/>
    </row>
    <row r="6" spans="1:37" ht="12" customHeight="1" x14ac:dyDescent="0.2">
      <c r="I6" s="2"/>
      <c r="J6" s="2"/>
      <c r="K6" s="128"/>
      <c r="L6" s="128"/>
      <c r="M6" s="128"/>
      <c r="N6" s="128"/>
      <c r="O6" s="128"/>
      <c r="P6" s="128"/>
      <c r="Q6" s="128"/>
      <c r="R6" s="128"/>
      <c r="S6" s="4"/>
      <c r="T6" s="126" t="s">
        <v>367</v>
      </c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6"/>
      <c r="AF6" s="2"/>
      <c r="AG6" s="2"/>
      <c r="AH6" s="2"/>
      <c r="AI6" s="2"/>
      <c r="AJ6" s="2"/>
      <c r="AK6" s="2"/>
    </row>
    <row r="7" spans="1:37" ht="12.75" customHeight="1" x14ac:dyDescent="0.2">
      <c r="A7" s="1"/>
      <c r="B7" s="2"/>
      <c r="C7" s="2"/>
      <c r="D7" s="2"/>
      <c r="E7" s="2"/>
      <c r="F7" s="2"/>
      <c r="G7" s="2"/>
      <c r="H7" s="2"/>
      <c r="I7" s="2"/>
      <c r="J7" s="2"/>
      <c r="K7" s="128"/>
      <c r="L7" s="128"/>
      <c r="M7" s="128"/>
      <c r="N7" s="128"/>
      <c r="O7" s="128"/>
      <c r="P7" s="128"/>
      <c r="Q7" s="128"/>
      <c r="R7" s="128"/>
      <c r="S7" s="4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"/>
      <c r="AF7" s="1"/>
      <c r="AG7" s="1"/>
      <c r="AH7" s="1"/>
      <c r="AI7" s="1"/>
      <c r="AJ7" s="1"/>
      <c r="AK7" s="1"/>
    </row>
    <row r="8" spans="1:37" ht="7.5" customHeight="1" x14ac:dyDescent="0.2">
      <c r="A8" s="1"/>
      <c r="B8" s="2"/>
      <c r="C8" s="2"/>
      <c r="D8" s="2"/>
      <c r="E8" s="2"/>
      <c r="F8" s="2"/>
      <c r="G8" s="2"/>
      <c r="H8" s="2"/>
      <c r="I8" s="2"/>
      <c r="J8" s="2"/>
      <c r="K8" s="128"/>
      <c r="L8" s="128"/>
      <c r="M8" s="128"/>
      <c r="N8" s="128"/>
      <c r="O8" s="128"/>
      <c r="P8" s="128"/>
      <c r="Q8" s="128"/>
      <c r="R8" s="128"/>
      <c r="S8" s="4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"/>
      <c r="AF8" s="1"/>
      <c r="AG8" s="1"/>
      <c r="AH8" s="1"/>
      <c r="AI8" s="1"/>
      <c r="AJ8" s="1"/>
      <c r="AK8" s="1"/>
    </row>
    <row r="9" spans="1:37" ht="7.5" customHeight="1" x14ac:dyDescent="0.2">
      <c r="A9" s="125"/>
      <c r="B9" s="125"/>
      <c r="C9" s="125"/>
      <c r="D9" s="125"/>
      <c r="E9" s="125"/>
      <c r="F9" s="125"/>
      <c r="G9" s="125"/>
      <c r="H9" s="125"/>
      <c r="I9" s="125"/>
      <c r="J9" s="2"/>
      <c r="K9" s="2"/>
      <c r="L9" s="100"/>
      <c r="M9" s="100"/>
      <c r="N9" s="100"/>
      <c r="O9" s="100"/>
      <c r="P9" s="100"/>
      <c r="Q9" s="100"/>
      <c r="R9" s="4"/>
      <c r="S9" s="4"/>
      <c r="T9" s="1"/>
      <c r="U9" s="5"/>
      <c r="V9" s="5"/>
      <c r="W9" s="5"/>
      <c r="X9" s="5"/>
      <c r="Y9" s="5"/>
      <c r="Z9" s="5"/>
      <c r="AA9" s="5"/>
      <c r="AB9" s="5"/>
      <c r="AC9" s="5"/>
      <c r="AD9" s="5"/>
      <c r="AE9" s="2"/>
      <c r="AF9" s="2"/>
      <c r="AG9" s="2"/>
      <c r="AH9" s="2"/>
      <c r="AI9" s="2"/>
      <c r="AJ9" s="2"/>
      <c r="AK9" s="2"/>
    </row>
    <row r="10" spans="1:37" ht="7.5" customHeight="1" x14ac:dyDescent="0.2">
      <c r="A10" s="125"/>
      <c r="B10" s="125"/>
      <c r="C10" s="125"/>
      <c r="D10" s="125"/>
      <c r="E10" s="125"/>
      <c r="F10" s="125"/>
      <c r="G10" s="125"/>
      <c r="H10" s="125"/>
      <c r="I10" s="125"/>
      <c r="J10" s="2"/>
      <c r="K10" s="2"/>
      <c r="L10" s="100"/>
      <c r="M10" s="100"/>
      <c r="N10" s="100"/>
      <c r="O10" s="100"/>
      <c r="P10" s="129" t="s">
        <v>0</v>
      </c>
      <c r="Q10" s="129"/>
      <c r="R10" s="129"/>
      <c r="S10" s="4"/>
      <c r="AE10" s="2"/>
      <c r="AF10" s="2"/>
      <c r="AG10" s="2"/>
      <c r="AH10" s="2"/>
      <c r="AI10" s="2"/>
      <c r="AJ10" s="2"/>
      <c r="AK10" s="2"/>
    </row>
    <row r="11" spans="1:37" ht="7.5" customHeight="1" x14ac:dyDescent="0.2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29"/>
      <c r="Q11" s="129"/>
      <c r="R11" s="129"/>
      <c r="S11" s="4"/>
      <c r="AE11" s="2"/>
      <c r="AF11" s="2"/>
      <c r="AG11" s="2"/>
      <c r="AH11" s="2"/>
      <c r="AI11" s="2"/>
      <c r="AJ11" s="2"/>
      <c r="AK11" s="2"/>
    </row>
    <row r="12" spans="1:37" ht="7.5" customHeight="1" x14ac:dyDescent="0.2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01"/>
      <c r="Q12" s="101"/>
      <c r="R12" s="4"/>
      <c r="S12" s="4"/>
      <c r="T12" s="127" t="s">
        <v>1</v>
      </c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  <c r="AE12" s="2"/>
      <c r="AF12" s="2"/>
      <c r="AG12" s="2"/>
      <c r="AH12" s="2"/>
      <c r="AI12" s="2"/>
      <c r="AJ12" s="2"/>
      <c r="AK12" s="2"/>
    </row>
    <row r="13" spans="1:37" ht="7.5" customHeight="1" x14ac:dyDescent="0.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7"/>
      <c r="M13" s="7"/>
      <c r="N13" s="7"/>
      <c r="O13" s="7"/>
      <c r="P13" s="124">
        <f ca="1">TODAY()</f>
        <v>46069</v>
      </c>
      <c r="Q13" s="124"/>
      <c r="R13" s="123">
        <f ca="1">NOW()</f>
        <v>46069.979460300929</v>
      </c>
      <c r="S13" s="8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2"/>
      <c r="AF13" s="2"/>
      <c r="AG13" s="2"/>
      <c r="AH13" s="2"/>
      <c r="AI13" s="2"/>
      <c r="AJ13" s="2"/>
      <c r="AK13" s="2"/>
    </row>
    <row r="14" spans="1:37" ht="7.5" customHeight="1" x14ac:dyDescent="0.2">
      <c r="A14" s="1"/>
      <c r="B14" s="2"/>
      <c r="C14" s="2"/>
      <c r="D14" s="2"/>
      <c r="E14" s="2"/>
      <c r="F14" s="2"/>
      <c r="G14" s="2"/>
      <c r="H14" s="2"/>
      <c r="I14" s="2"/>
      <c r="J14" s="121"/>
      <c r="K14" s="25"/>
      <c r="L14" s="25"/>
      <c r="M14" s="7"/>
      <c r="N14" s="9"/>
      <c r="O14" s="7"/>
      <c r="P14" s="124"/>
      <c r="Q14" s="124"/>
      <c r="R14" s="123"/>
      <c r="S14" s="8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  <c r="AE14" s="10"/>
      <c r="AF14" s="2"/>
      <c r="AG14" s="2"/>
      <c r="AH14" s="2"/>
      <c r="AI14" s="2"/>
      <c r="AJ14" s="2"/>
      <c r="AK14" s="2"/>
    </row>
    <row r="15" spans="1:37" ht="7.5" customHeight="1" x14ac:dyDescent="0.2">
      <c r="A15" s="1"/>
      <c r="B15" s="2"/>
      <c r="C15" s="2"/>
      <c r="D15" s="2"/>
      <c r="E15" s="2"/>
      <c r="F15" s="2"/>
      <c r="G15" s="2"/>
      <c r="H15" s="2"/>
      <c r="I15" s="2"/>
      <c r="J15" s="121"/>
      <c r="K15" s="25"/>
      <c r="L15" s="25"/>
      <c r="M15" s="11"/>
      <c r="N15" s="1"/>
      <c r="O15" s="12"/>
      <c r="P15" s="122"/>
      <c r="Q15" s="122"/>
      <c r="S15" s="13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0"/>
      <c r="AF15" s="2"/>
      <c r="AG15" s="2"/>
      <c r="AH15" s="2"/>
      <c r="AI15" s="2"/>
      <c r="AJ15" s="2"/>
      <c r="AK15" s="2"/>
    </row>
    <row r="16" spans="1:37" ht="7.5" customHeight="1" thickBot="1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11"/>
      <c r="L16" s="2"/>
      <c r="M16" s="2"/>
      <c r="N16" s="2"/>
      <c r="O16" s="1"/>
      <c r="P16" s="122"/>
      <c r="Q16" s="122"/>
      <c r="S16" s="13"/>
      <c r="T16" s="23"/>
      <c r="U16" s="21"/>
      <c r="W16" s="21"/>
      <c r="X16" s="21"/>
      <c r="Z16" s="21"/>
      <c r="AA16" s="21"/>
      <c r="AC16" s="21"/>
      <c r="AD16" s="21"/>
      <c r="AE16" s="10"/>
      <c r="AF16" s="2"/>
      <c r="AG16" s="2"/>
      <c r="AH16" s="2"/>
      <c r="AI16" s="2"/>
      <c r="AJ16" s="2"/>
      <c r="AK16" s="2"/>
    </row>
    <row r="17" spans="1:37" ht="18" customHeight="1" thickTop="1" x14ac:dyDescent="0.2">
      <c r="A17" s="1"/>
      <c r="B17" s="2"/>
      <c r="C17" s="2"/>
      <c r="D17" s="2"/>
      <c r="E17" s="2"/>
      <c r="F17" s="2"/>
      <c r="G17" s="2"/>
      <c r="H17" s="2"/>
      <c r="I17" s="2"/>
      <c r="J17" s="2"/>
      <c r="K17" s="130" t="s">
        <v>2</v>
      </c>
      <c r="L17" s="145" t="s">
        <v>3</v>
      </c>
      <c r="M17" s="142"/>
      <c r="N17" s="148" t="s">
        <v>4</v>
      </c>
      <c r="O17" s="136" t="s">
        <v>5</v>
      </c>
      <c r="P17" s="139" t="s">
        <v>6</v>
      </c>
      <c r="Q17" s="151" t="s">
        <v>9</v>
      </c>
      <c r="R17" s="133" t="s">
        <v>8</v>
      </c>
      <c r="S17" s="14"/>
      <c r="T17" s="108" t="str">
        <f>IF(ISNA([1]Upcoming!$B$2),"",[1]Upcoming!$B$2)</f>
        <v>A</v>
      </c>
      <c r="U17" s="109" t="str">
        <f>IF(ISNA([1]Upcoming!$C$2),"",[1]Upcoming!$C$2)</f>
        <v>F</v>
      </c>
      <c r="V17" s="108"/>
      <c r="W17" s="108" t="str">
        <f>IF(ISNA([1]Upcoming!$D$2),"",[1]Upcoming!$D$2)</f>
        <v/>
      </c>
      <c r="X17" s="109" t="str">
        <f>IF(ISNA([1]Upcoming!$E$2),"",[1]Upcoming!$E$2)</f>
        <v/>
      </c>
      <c r="Y17" s="108"/>
      <c r="Z17" s="108" t="str">
        <f>IF(ISNA([1]Upcoming!$F$2),"",[1]Upcoming!$F$2)</f>
        <v/>
      </c>
      <c r="AA17" s="109" t="str">
        <f>IF(ISNA([1]Upcoming!$G$2),"",[1]Upcoming!$G$2)</f>
        <v/>
      </c>
      <c r="AB17" s="108"/>
      <c r="AC17" s="108" t="str">
        <f>IF(ISNA([1]Upcoming!$H$2),"",[1]Upcoming!$H$2)</f>
        <v/>
      </c>
      <c r="AD17" s="109" t="str">
        <f>IF(ISNA([1]Upcoming!$I$2),"",[1]Upcoming!$I$2)</f>
        <v/>
      </c>
      <c r="AE17" s="10"/>
      <c r="AF17" s="2"/>
      <c r="AG17" s="2"/>
      <c r="AH17" s="2"/>
      <c r="AI17" s="2"/>
      <c r="AJ17" s="2"/>
      <c r="AK17" s="2"/>
    </row>
    <row r="18" spans="1:37" ht="18" customHeight="1" x14ac:dyDescent="0.2">
      <c r="A18" s="1"/>
      <c r="B18" s="2"/>
      <c r="C18" s="2"/>
      <c r="D18" s="2"/>
      <c r="E18" s="2"/>
      <c r="F18" s="2"/>
      <c r="G18" s="2"/>
      <c r="H18" s="2"/>
      <c r="I18" s="2"/>
      <c r="J18" s="2"/>
      <c r="K18" s="131"/>
      <c r="L18" s="146"/>
      <c r="M18" s="143"/>
      <c r="N18" s="149"/>
      <c r="O18" s="137"/>
      <c r="P18" s="140"/>
      <c r="Q18" s="152"/>
      <c r="R18" s="134"/>
      <c r="S18" s="14"/>
      <c r="T18" s="108" t="str">
        <f>IF(ISNA([1]Upcoming!$B$3),"",[1]Upcoming!$B$3)</f>
        <v>R</v>
      </c>
      <c r="U18" s="109" t="str">
        <f>IF(ISNA([1]Upcoming!$C$3),"",[1]Upcoming!$C$3)</f>
        <v>R</v>
      </c>
      <c r="V18" s="108"/>
      <c r="W18" s="108" t="str">
        <f>IF(ISNA([1]Upcoming!$D$3),"",[1]Upcoming!$D$3)</f>
        <v/>
      </c>
      <c r="X18" s="109" t="str">
        <f>IF(ISNA([1]Upcoming!$E$3),"",[1]Upcoming!$E$3)</f>
        <v/>
      </c>
      <c r="Y18" s="108"/>
      <c r="Z18" s="108" t="str">
        <f>IF(ISNA([1]Upcoming!$F$3),"",[1]Upcoming!$F$3)</f>
        <v/>
      </c>
      <c r="AA18" s="109" t="str">
        <f>IF(ISNA([1]Upcoming!$G$3),"",[1]Upcoming!$G$3)</f>
        <v/>
      </c>
      <c r="AB18" s="108"/>
      <c r="AC18" s="108" t="str">
        <f>IF(ISNA([1]Upcoming!$H$3),"",[1]Upcoming!$H$3)</f>
        <v/>
      </c>
      <c r="AD18" s="109" t="str">
        <f>IF(ISNA([1]Upcoming!$I$3),"",[1]Upcoming!$I$3)</f>
        <v/>
      </c>
      <c r="AE18" s="10"/>
      <c r="AF18" s="2"/>
      <c r="AG18" s="2"/>
      <c r="AH18" s="2"/>
      <c r="AI18" s="2"/>
      <c r="AJ18" s="2"/>
      <c r="AK18" s="2"/>
    </row>
    <row r="19" spans="1:37" ht="18" customHeight="1" thickBot="1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132"/>
      <c r="L19" s="147"/>
      <c r="M19" s="144"/>
      <c r="N19" s="150"/>
      <c r="O19" s="138"/>
      <c r="P19" s="141"/>
      <c r="Q19" s="153"/>
      <c r="R19" s="135"/>
      <c r="S19" s="14"/>
      <c r="T19" s="108" t="str">
        <f>IF(ISNA([1]Upcoming!$B$4),"",[1]Upcoming!$B$4)</f>
        <v>G</v>
      </c>
      <c r="U19" s="109" t="str">
        <f>IF(ISNA([1]Upcoming!$C$4),"",[1]Upcoming!$C$4)</f>
        <v>A</v>
      </c>
      <c r="V19" s="110"/>
      <c r="W19" s="108" t="str">
        <f>IF(ISNA([1]Upcoming!$D$4),"",[1]Upcoming!$D$4)</f>
        <v/>
      </c>
      <c r="X19" s="109" t="str">
        <f>IF(ISNA([1]Upcoming!$E$4),"",[1]Upcoming!$E$4)</f>
        <v/>
      </c>
      <c r="Y19" s="110"/>
      <c r="Z19" s="108" t="str">
        <f>IF(ISNA([1]Upcoming!$F$4),"",[1]Upcoming!$F$4)</f>
        <v/>
      </c>
      <c r="AA19" s="109" t="str">
        <f>IF(ISNA([1]Upcoming!$G$4),"",[1]Upcoming!$G$4)</f>
        <v/>
      </c>
      <c r="AB19" s="110"/>
      <c r="AC19" s="108" t="str">
        <f>IF(ISNA([1]Upcoming!$H$4),"",[1]Upcoming!$H$4)</f>
        <v/>
      </c>
      <c r="AD19" s="109" t="str">
        <f>IF(ISNA([1]Upcoming!$I$4),"",[1]Upcoming!$I$4)</f>
        <v/>
      </c>
      <c r="AE19" s="2"/>
      <c r="AF19" s="2"/>
      <c r="AG19" s="2"/>
      <c r="AH19" s="2"/>
      <c r="AI19" s="2"/>
      <c r="AJ19" s="2"/>
      <c r="AK19" s="2"/>
    </row>
    <row r="20" spans="1:37" ht="25.5" customHeight="1" thickTop="1" thickBot="1" x14ac:dyDescent="0.3">
      <c r="A20" s="1"/>
      <c r="B20" s="2"/>
      <c r="C20" s="2"/>
      <c r="D20" s="2"/>
      <c r="E20" s="2"/>
      <c r="F20" s="2"/>
      <c r="G20" s="2"/>
      <c r="H20" s="2"/>
      <c r="I20" s="2"/>
      <c r="J20" s="2"/>
      <c r="K20" s="72" t="e">
        <f t="shared" ref="K20:K51" ca="1" si="0">RANK(N20,$N$20:$N$200,0)</f>
        <v>#REF!</v>
      </c>
      <c r="L20" s="95" t="s">
        <v>70</v>
      </c>
      <c r="M20" s="76"/>
      <c r="N20" s="105" t="e">
        <f t="shared" ref="N20:N51" ca="1" si="1">O20+P20</f>
        <v>#REF!</v>
      </c>
      <c r="O20" s="77" t="e">
        <f t="shared" ref="O20:O51" ca="1" si="2">INDIRECT("'[summary.xls]"&amp;L20&amp;"'!$F$99")</f>
        <v>#REF!</v>
      </c>
      <c r="P20" s="78" t="e">
        <f t="shared" ref="P20:P51" ca="1" si="3">INDIRECT("'[summary.xls]"&amp;L20&amp;"'!$F$172")</f>
        <v>#REF!</v>
      </c>
      <c r="Q20" s="79" t="e">
        <f t="shared" ref="Q20:Q51" ca="1" si="4">INDIRECT("'[summary.xls]"&amp;L20&amp;"'!$L$1")</f>
        <v>#REF!</v>
      </c>
      <c r="R20" s="80" t="e">
        <f t="shared" ref="R20:R51" ca="1" si="5">INDIRECT("'[summary.xls]"&amp;L20&amp;"'!$F$218")</f>
        <v>#REF!</v>
      </c>
      <c r="S20" s="81"/>
      <c r="T20" s="82">
        <f>VLOOKUP(L20,[1]Upcoming!$A$5:$I$185,2,FALSE)</f>
        <v>2</v>
      </c>
      <c r="U20" s="83">
        <f>VLOOKUP(L20,[1]Upcoming!$A$5:$I$185,3,FALSE)</f>
        <v>1</v>
      </c>
      <c r="V20" s="84"/>
      <c r="W20" s="82" t="e">
        <f>IF(ISBLANK(VLOOKUP(I20,[1]Upcoming!$A$5:$I$185,4,FALSE)),"",VLOOKUP(I20,[1]Upcoming!$A$5:$I$185,4,FALSE))</f>
        <v>#N/A</v>
      </c>
      <c r="X20" s="83" t="e">
        <f>IF(ISBLANK(VLOOKUP(I20,[1]Upcoming!$A$5:$I$185,5,FALSE)),"",VLOOKUP(I20,[1]Upcoming!$A$5:$I$185,5,FALSE))</f>
        <v>#N/A</v>
      </c>
      <c r="Y20" s="84"/>
      <c r="Z20" s="82" t="str">
        <f>IF(ISBLANK(VLOOKUP(L20,[1]Upcoming!$A$5:$I$185,6,FALSE)),"",VLOOKUP(L20,[1]Upcoming!$A$5:$I$185,6,FALSE))</f>
        <v/>
      </c>
      <c r="AA20" s="83" t="str">
        <f>IF(ISBLANK(VLOOKUP(L20,[1]Upcoming!$A$5:$I$185,7,FALSE)),"",VLOOKUP(L20,[1]Upcoming!$A$5:$I$185,7,FALSE))</f>
        <v/>
      </c>
      <c r="AB20" s="84"/>
      <c r="AC20" s="82" t="str">
        <f>IF(ISBLANK(VLOOKUP(L20,[1]Upcoming!$A$5:$I$185,8,FALSE)),"",VLOOKUP(L20,[1]Upcoming!$A$5:$I$185,8,FALSE))</f>
        <v/>
      </c>
      <c r="AD20" s="83" t="str">
        <f>IF(ISBLANK(VLOOKUP(L20,[1]Upcoming!$A$5:$I$185,9,FALSE)),"",VLOOKUP(L20,[1]Upcoming!$A$5:$I$185,9,FALSE))</f>
        <v/>
      </c>
      <c r="AE20" s="20"/>
      <c r="AF20" s="20"/>
      <c r="AG20" s="20"/>
      <c r="AH20" s="2"/>
      <c r="AI20" s="2"/>
      <c r="AJ20" s="2"/>
      <c r="AK20" s="2"/>
    </row>
    <row r="21" spans="1:37" ht="25.5" customHeight="1" thickBot="1" x14ac:dyDescent="0.3">
      <c r="A21" s="1"/>
      <c r="B21" s="2"/>
      <c r="C21" s="2"/>
      <c r="D21" s="2"/>
      <c r="E21" s="2"/>
      <c r="F21" s="2"/>
      <c r="G21" s="2"/>
      <c r="H21" s="2"/>
      <c r="I21" s="2"/>
      <c r="J21" s="2"/>
      <c r="K21" s="73" t="e">
        <f t="shared" ca="1" si="0"/>
        <v>#REF!</v>
      </c>
      <c r="L21" s="96" t="s">
        <v>357</v>
      </c>
      <c r="M21" s="85"/>
      <c r="N21" s="105" t="e">
        <f t="shared" ca="1" si="1"/>
        <v>#REF!</v>
      </c>
      <c r="O21" s="77" t="e">
        <f t="shared" ca="1" si="2"/>
        <v>#REF!</v>
      </c>
      <c r="P21" s="78" t="e">
        <f t="shared" ca="1" si="3"/>
        <v>#REF!</v>
      </c>
      <c r="Q21" s="79" t="e">
        <f t="shared" ca="1" si="4"/>
        <v>#REF!</v>
      </c>
      <c r="R21" s="80" t="e">
        <f t="shared" ca="1" si="5"/>
        <v>#REF!</v>
      </c>
      <c r="S21" s="81"/>
      <c r="T21" s="82">
        <f>VLOOKUP(L21,[1]Upcoming!$A$5:$I$185,2,FALSE)</f>
        <v>1</v>
      </c>
      <c r="U21" s="83">
        <f>VLOOKUP(L21,[1]Upcoming!$A$5:$I$185,3,FALSE)</f>
        <v>0</v>
      </c>
      <c r="V21" s="84"/>
      <c r="W21" s="82" t="e">
        <f>IF(ISBLANK(VLOOKUP(I21,[1]Upcoming!$A$5:$I$185,4,FALSE)),"",VLOOKUP(I21,[1]Upcoming!$A$5:$I$185,4,FALSE))</f>
        <v>#N/A</v>
      </c>
      <c r="X21" s="83" t="e">
        <f>IF(ISBLANK(VLOOKUP(I21,[1]Upcoming!$A$5:$I$185,5,FALSE)),"",VLOOKUP(I21,[1]Upcoming!$A$5:$I$185,5,FALSE))</f>
        <v>#N/A</v>
      </c>
      <c r="Y21" s="84"/>
      <c r="Z21" s="82" t="str">
        <f>IF(ISBLANK(VLOOKUP(L21,[1]Upcoming!$A$5:$I$185,6,FALSE)),"",VLOOKUP(L21,[1]Upcoming!$A$5:$I$185,6,FALSE))</f>
        <v/>
      </c>
      <c r="AA21" s="83" t="str">
        <f>IF(ISBLANK(VLOOKUP(L21,[1]Upcoming!$A$5:$I$185,7,FALSE)),"",VLOOKUP(L21,[1]Upcoming!$A$5:$I$185,7,FALSE))</f>
        <v/>
      </c>
      <c r="AB21" s="84"/>
      <c r="AC21" s="82" t="str">
        <f>IF(ISBLANK(VLOOKUP(L21,[1]Upcoming!$A$5:$I$185,8,FALSE)),"",VLOOKUP(L21,[1]Upcoming!$A$5:$I$185,8,FALSE))</f>
        <v/>
      </c>
      <c r="AD21" s="83" t="str">
        <f>IF(ISBLANK(VLOOKUP(L21,[1]Upcoming!$A$5:$I$185,9,FALSE)),"",VLOOKUP(L21,[1]Upcoming!$A$5:$I$185,9,FALSE))</f>
        <v/>
      </c>
      <c r="AE21" s="20"/>
      <c r="AF21" s="20"/>
      <c r="AG21" s="20"/>
      <c r="AH21" s="2"/>
      <c r="AI21" s="2"/>
      <c r="AJ21" s="2"/>
      <c r="AK21" s="2"/>
    </row>
    <row r="22" spans="1:37" ht="25.5" customHeight="1" thickBot="1" x14ac:dyDescent="0.3">
      <c r="A22" s="1"/>
      <c r="B22" s="2"/>
      <c r="C22" s="2"/>
      <c r="D22" s="2"/>
      <c r="E22" s="2"/>
      <c r="F22" s="2"/>
      <c r="G22" s="2"/>
      <c r="H22" s="2"/>
      <c r="I22" s="2"/>
      <c r="J22" s="2"/>
      <c r="K22" s="73" t="e">
        <f t="shared" ca="1" si="0"/>
        <v>#REF!</v>
      </c>
      <c r="L22" s="96" t="s">
        <v>22</v>
      </c>
      <c r="M22" s="85"/>
      <c r="N22" s="105" t="e">
        <f t="shared" ca="1" si="1"/>
        <v>#REF!</v>
      </c>
      <c r="O22" s="77" t="e">
        <f t="shared" ca="1" si="2"/>
        <v>#REF!</v>
      </c>
      <c r="P22" s="78" t="e">
        <f t="shared" ca="1" si="3"/>
        <v>#REF!</v>
      </c>
      <c r="Q22" s="79" t="e">
        <f t="shared" ca="1" si="4"/>
        <v>#REF!</v>
      </c>
      <c r="R22" s="80" t="e">
        <f t="shared" ca="1" si="5"/>
        <v>#REF!</v>
      </c>
      <c r="S22" s="81"/>
      <c r="T22" s="82">
        <f>VLOOKUP(L22,[1]Upcoming!$A$5:$I$185,2,FALSE)</f>
        <v>2</v>
      </c>
      <c r="U22" s="83">
        <f>VLOOKUP(L22,[1]Upcoming!$A$5:$I$185,3,FALSE)</f>
        <v>1</v>
      </c>
      <c r="V22" s="84"/>
      <c r="W22" s="82" t="e">
        <f>IF(ISBLANK(VLOOKUP(I22,[1]Upcoming!$A$5:$I$185,4,FALSE)),"",VLOOKUP(I22,[1]Upcoming!$A$5:$I$185,4,FALSE))</f>
        <v>#N/A</v>
      </c>
      <c r="X22" s="83" t="e">
        <f>IF(ISBLANK(VLOOKUP(I22,[1]Upcoming!$A$5:$I$185,5,FALSE)),"",VLOOKUP(I22,[1]Upcoming!$A$5:$I$185,5,FALSE))</f>
        <v>#N/A</v>
      </c>
      <c r="Y22" s="84"/>
      <c r="Z22" s="82" t="str">
        <f>IF(ISBLANK(VLOOKUP(L22,[1]Upcoming!$A$5:$I$185,6,FALSE)),"",VLOOKUP(L22,[1]Upcoming!$A$5:$I$185,6,FALSE))</f>
        <v/>
      </c>
      <c r="AA22" s="83" t="str">
        <f>IF(ISBLANK(VLOOKUP(L22,[1]Upcoming!$A$5:$I$185,7,FALSE)),"",VLOOKUP(L22,[1]Upcoming!$A$5:$I$185,7,FALSE))</f>
        <v/>
      </c>
      <c r="AB22" s="84"/>
      <c r="AC22" s="82" t="str">
        <f>IF(ISBLANK(VLOOKUP(L22,[1]Upcoming!$A$5:$I$185,8,FALSE)),"",VLOOKUP(L22,[1]Upcoming!$A$5:$I$185,8,FALSE))</f>
        <v/>
      </c>
      <c r="AD22" s="83" t="str">
        <f>IF(ISBLANK(VLOOKUP(L22,[1]Upcoming!$A$5:$I$185,9,FALSE)),"",VLOOKUP(L22,[1]Upcoming!$A$5:$I$185,9,FALSE))</f>
        <v/>
      </c>
      <c r="AE22" s="20"/>
      <c r="AF22" s="20"/>
      <c r="AG22" s="20"/>
      <c r="AH22" s="2"/>
      <c r="AI22" s="2"/>
      <c r="AJ22" s="2"/>
      <c r="AK22" s="2"/>
    </row>
    <row r="23" spans="1:37" ht="25.5" customHeight="1" thickBot="1" x14ac:dyDescent="0.3">
      <c r="A23" s="1"/>
      <c r="B23" s="2"/>
      <c r="C23" s="2"/>
      <c r="D23" s="2"/>
      <c r="E23" s="2"/>
      <c r="F23" s="2"/>
      <c r="G23" s="2"/>
      <c r="H23" s="2"/>
      <c r="I23" s="2"/>
      <c r="J23" s="2"/>
      <c r="K23" s="73" t="e">
        <f t="shared" ca="1" si="0"/>
        <v>#REF!</v>
      </c>
      <c r="L23" s="96" t="s">
        <v>341</v>
      </c>
      <c r="M23" s="85"/>
      <c r="N23" s="105" t="e">
        <f t="shared" ca="1" si="1"/>
        <v>#REF!</v>
      </c>
      <c r="O23" s="77" t="e">
        <f t="shared" ca="1" si="2"/>
        <v>#REF!</v>
      </c>
      <c r="P23" s="78" t="e">
        <f t="shared" ca="1" si="3"/>
        <v>#REF!</v>
      </c>
      <c r="Q23" s="79" t="e">
        <f t="shared" ca="1" si="4"/>
        <v>#REF!</v>
      </c>
      <c r="R23" s="118" t="e">
        <f t="shared" ca="1" si="5"/>
        <v>#REF!</v>
      </c>
      <c r="S23" s="81"/>
      <c r="T23" s="82">
        <f>VLOOKUP(L23,[1]Upcoming!$A$5:$I$185,2,FALSE)</f>
        <v>3</v>
      </c>
      <c r="U23" s="83">
        <f>VLOOKUP(L23,[1]Upcoming!$A$5:$I$185,3,FALSE)</f>
        <v>1</v>
      </c>
      <c r="V23" s="84"/>
      <c r="W23" s="82" t="e">
        <f>IF(ISBLANK(VLOOKUP(I23,[1]Upcoming!$A$5:$I$185,4,FALSE)),"",VLOOKUP(I23,[1]Upcoming!$A$5:$I$185,4,FALSE))</f>
        <v>#N/A</v>
      </c>
      <c r="X23" s="83" t="e">
        <f>IF(ISBLANK(VLOOKUP(I23,[1]Upcoming!$A$5:$I$185,5,FALSE)),"",VLOOKUP(I23,[1]Upcoming!$A$5:$I$185,5,FALSE))</f>
        <v>#N/A</v>
      </c>
      <c r="Y23" s="84"/>
      <c r="Z23" s="82" t="str">
        <f>IF(ISBLANK(VLOOKUP(L23,[1]Upcoming!$A$5:$I$185,6,FALSE)),"",VLOOKUP(L23,[1]Upcoming!$A$5:$I$185,6,FALSE))</f>
        <v/>
      </c>
      <c r="AA23" s="83" t="str">
        <f>IF(ISBLANK(VLOOKUP(L23,[1]Upcoming!$A$5:$I$185,7,FALSE)),"",VLOOKUP(L23,[1]Upcoming!$A$5:$I$185,7,FALSE))</f>
        <v/>
      </c>
      <c r="AB23" s="84"/>
      <c r="AC23" s="82" t="str">
        <f>IF(ISBLANK(VLOOKUP(L23,[1]Upcoming!$A$5:$I$185,8,FALSE)),"",VLOOKUP(L23,[1]Upcoming!$A$5:$I$185,8,FALSE))</f>
        <v/>
      </c>
      <c r="AD23" s="83" t="str">
        <f>IF(ISBLANK(VLOOKUP(L23,[1]Upcoming!$A$5:$I$185,9,FALSE)),"",VLOOKUP(L23,[1]Upcoming!$A$5:$I$185,9,FALSE))</f>
        <v/>
      </c>
      <c r="AE23" s="20"/>
      <c r="AF23" s="20"/>
      <c r="AG23" s="20"/>
      <c r="AH23" s="2"/>
      <c r="AI23" s="2"/>
      <c r="AJ23" s="2"/>
      <c r="AK23" s="2"/>
    </row>
    <row r="24" spans="1:37" ht="25.5" customHeight="1" thickBot="1" x14ac:dyDescent="0.3">
      <c r="A24" s="1"/>
      <c r="B24" s="2"/>
      <c r="C24" s="2"/>
      <c r="D24" s="2"/>
      <c r="E24" s="2"/>
      <c r="F24" s="2"/>
      <c r="G24" s="2"/>
      <c r="H24" s="2"/>
      <c r="I24" s="2"/>
      <c r="J24" s="2"/>
      <c r="K24" s="73" t="e">
        <f t="shared" ca="1" si="0"/>
        <v>#REF!</v>
      </c>
      <c r="L24" s="96" t="s">
        <v>282</v>
      </c>
      <c r="M24" s="85"/>
      <c r="N24" s="105" t="e">
        <f t="shared" ca="1" si="1"/>
        <v>#REF!</v>
      </c>
      <c r="O24" s="77" t="e">
        <f t="shared" ca="1" si="2"/>
        <v>#REF!</v>
      </c>
      <c r="P24" s="78" t="e">
        <f t="shared" ca="1" si="3"/>
        <v>#REF!</v>
      </c>
      <c r="Q24" s="79" t="e">
        <f t="shared" ca="1" si="4"/>
        <v>#REF!</v>
      </c>
      <c r="R24" s="80" t="e">
        <f t="shared" ca="1" si="5"/>
        <v>#REF!</v>
      </c>
      <c r="S24" s="81"/>
      <c r="T24" s="82">
        <f>VLOOKUP(L24,[1]Upcoming!$A$5:$I$185,2,FALSE)</f>
        <v>2</v>
      </c>
      <c r="U24" s="83">
        <f>VLOOKUP(L24,[1]Upcoming!$A$5:$I$185,3,FALSE)</f>
        <v>2</v>
      </c>
      <c r="V24" s="84"/>
      <c r="W24" s="82" t="e">
        <f>IF(ISBLANK(VLOOKUP(I24,[1]Upcoming!$A$5:$I$185,4,FALSE)),"",VLOOKUP(I24,[1]Upcoming!$A$5:$I$185,4,FALSE))</f>
        <v>#N/A</v>
      </c>
      <c r="X24" s="83" t="e">
        <f>IF(ISBLANK(VLOOKUP(I24,[1]Upcoming!$A$5:$I$185,5,FALSE)),"",VLOOKUP(I24,[1]Upcoming!$A$5:$I$185,5,FALSE))</f>
        <v>#N/A</v>
      </c>
      <c r="Y24" s="84"/>
      <c r="Z24" s="82" t="str">
        <f>IF(ISBLANK(VLOOKUP(L24,[1]Upcoming!$A$5:$I$185,6,FALSE)),"",VLOOKUP(L24,[1]Upcoming!$A$5:$I$185,6,FALSE))</f>
        <v/>
      </c>
      <c r="AA24" s="83" t="str">
        <f>IF(ISBLANK(VLOOKUP(L24,[1]Upcoming!$A$5:$I$185,7,FALSE)),"",VLOOKUP(L24,[1]Upcoming!$A$5:$I$185,7,FALSE))</f>
        <v/>
      </c>
      <c r="AB24" s="84"/>
      <c r="AC24" s="82" t="str">
        <f>IF(ISBLANK(VLOOKUP(L24,[1]Upcoming!$A$5:$I$185,8,FALSE)),"",VLOOKUP(L24,[1]Upcoming!$A$5:$I$185,8,FALSE))</f>
        <v/>
      </c>
      <c r="AD24" s="83" t="str">
        <f>IF(ISBLANK(VLOOKUP(L24,[1]Upcoming!$A$5:$I$185,9,FALSE)),"",VLOOKUP(L24,[1]Upcoming!$A$5:$I$185,9,FALSE))</f>
        <v/>
      </c>
      <c r="AE24" s="20"/>
      <c r="AF24" s="20"/>
      <c r="AG24" s="20"/>
      <c r="AH24" s="2"/>
      <c r="AI24" s="2"/>
      <c r="AJ24" s="2"/>
      <c r="AK24" s="2"/>
    </row>
    <row r="25" spans="1:37" ht="25.5" customHeight="1" thickBot="1" x14ac:dyDescent="0.3">
      <c r="A25" s="1"/>
      <c r="B25" s="2"/>
      <c r="C25" s="2"/>
      <c r="D25" s="2"/>
      <c r="E25" s="2"/>
      <c r="F25" s="2"/>
      <c r="G25" s="2"/>
      <c r="H25" s="2"/>
      <c r="I25" s="2"/>
      <c r="J25" s="2"/>
      <c r="K25" s="74" t="e">
        <f t="shared" ca="1" si="0"/>
        <v>#REF!</v>
      </c>
      <c r="L25" s="97" t="s">
        <v>321</v>
      </c>
      <c r="M25" s="86"/>
      <c r="N25" s="106" t="e">
        <f t="shared" ca="1" si="1"/>
        <v>#REF!</v>
      </c>
      <c r="O25" s="87" t="e">
        <f t="shared" ca="1" si="2"/>
        <v>#REF!</v>
      </c>
      <c r="P25" s="88" t="e">
        <f t="shared" ca="1" si="3"/>
        <v>#REF!</v>
      </c>
      <c r="Q25" s="89" t="e">
        <f t="shared" ca="1" si="4"/>
        <v>#REF!</v>
      </c>
      <c r="R25" s="90" t="e">
        <f t="shared" ca="1" si="5"/>
        <v>#REF!</v>
      </c>
      <c r="S25" s="81"/>
      <c r="T25" s="82">
        <f>VLOOKUP(L25,[1]Upcoming!$A$5:$I$185,2,FALSE)</f>
        <v>1</v>
      </c>
      <c r="U25" s="83">
        <f>VLOOKUP(L25,[1]Upcoming!$A$5:$I$185,3,FALSE)</f>
        <v>0</v>
      </c>
      <c r="V25" s="84"/>
      <c r="W25" s="82" t="e">
        <f>IF(ISBLANK(VLOOKUP(I25,[1]Upcoming!$A$5:$I$185,4,FALSE)),"",VLOOKUP(I25,[1]Upcoming!$A$5:$I$185,4,FALSE))</f>
        <v>#N/A</v>
      </c>
      <c r="X25" s="83" t="e">
        <f>IF(ISBLANK(VLOOKUP(I25,[1]Upcoming!$A$5:$I$185,5,FALSE)),"",VLOOKUP(I25,[1]Upcoming!$A$5:$I$185,5,FALSE))</f>
        <v>#N/A</v>
      </c>
      <c r="Y25" s="84"/>
      <c r="Z25" s="82" t="str">
        <f>IF(ISBLANK(VLOOKUP(L25,[1]Upcoming!$A$5:$I$185,6,FALSE)),"",VLOOKUP(L25,[1]Upcoming!$A$5:$I$185,6,FALSE))</f>
        <v/>
      </c>
      <c r="AA25" s="83" t="str">
        <f>IF(ISBLANK(VLOOKUP(L25,[1]Upcoming!$A$5:$I$185,7,FALSE)),"",VLOOKUP(L25,[1]Upcoming!$A$5:$I$185,7,FALSE))</f>
        <v/>
      </c>
      <c r="AB25" s="84"/>
      <c r="AC25" s="82" t="str">
        <f>IF(ISBLANK(VLOOKUP(L25,[1]Upcoming!$A$5:$I$185,8,FALSE)),"",VLOOKUP(L25,[1]Upcoming!$A$5:$I$185,8,FALSE))</f>
        <v/>
      </c>
      <c r="AD25" s="83" t="str">
        <f>IF(ISBLANK(VLOOKUP(L25,[1]Upcoming!$A$5:$I$185,9,FALSE)),"",VLOOKUP(L25,[1]Upcoming!$A$5:$I$185,9,FALSE))</f>
        <v/>
      </c>
      <c r="AE25" s="20"/>
      <c r="AF25" s="20"/>
      <c r="AG25" s="20"/>
      <c r="AH25" s="2"/>
      <c r="AI25" s="2"/>
      <c r="AJ25" s="2"/>
      <c r="AK25" s="2"/>
    </row>
    <row r="26" spans="1:37" ht="25.5" customHeight="1" thickBot="1" x14ac:dyDescent="0.3">
      <c r="A26" s="1"/>
      <c r="B26" s="2"/>
      <c r="C26" s="2"/>
      <c r="D26" s="2"/>
      <c r="E26" s="2"/>
      <c r="F26" s="2"/>
      <c r="G26" s="2"/>
      <c r="H26" s="2"/>
      <c r="I26" s="2"/>
      <c r="J26" s="2"/>
      <c r="K26" s="74" t="e">
        <f t="shared" ca="1" si="0"/>
        <v>#REF!</v>
      </c>
      <c r="L26" s="97" t="s">
        <v>319</v>
      </c>
      <c r="M26" s="86"/>
      <c r="N26" s="106" t="e">
        <f t="shared" ca="1" si="1"/>
        <v>#REF!</v>
      </c>
      <c r="O26" s="87" t="e">
        <f t="shared" ca="1" si="2"/>
        <v>#REF!</v>
      </c>
      <c r="P26" s="88" t="e">
        <f t="shared" ca="1" si="3"/>
        <v>#REF!</v>
      </c>
      <c r="Q26" s="89" t="e">
        <f t="shared" ca="1" si="4"/>
        <v>#REF!</v>
      </c>
      <c r="R26" s="90" t="e">
        <f t="shared" ca="1" si="5"/>
        <v>#REF!</v>
      </c>
      <c r="S26" s="81"/>
      <c r="T26" s="82">
        <f>VLOOKUP(L26,[1]Upcoming!$A$5:$I$185,2,FALSE)</f>
        <v>2</v>
      </c>
      <c r="U26" s="83">
        <f>VLOOKUP(L26,[1]Upcoming!$A$5:$I$185,3,FALSE)</f>
        <v>1</v>
      </c>
      <c r="V26" s="84"/>
      <c r="W26" s="82" t="e">
        <f>IF(ISBLANK(VLOOKUP(I26,[1]Upcoming!$A$5:$I$185,4,FALSE)),"",VLOOKUP(I26,[1]Upcoming!$A$5:$I$185,4,FALSE))</f>
        <v>#N/A</v>
      </c>
      <c r="X26" s="83" t="e">
        <f>IF(ISBLANK(VLOOKUP(I26,[1]Upcoming!$A$5:$I$185,5,FALSE)),"",VLOOKUP(I26,[1]Upcoming!$A$5:$I$185,5,FALSE))</f>
        <v>#N/A</v>
      </c>
      <c r="Y26" s="84"/>
      <c r="Z26" s="82" t="str">
        <f>IF(ISBLANK(VLOOKUP(L26,[1]Upcoming!$A$5:$I$185,6,FALSE)),"",VLOOKUP(L26,[1]Upcoming!$A$5:$I$185,6,FALSE))</f>
        <v/>
      </c>
      <c r="AA26" s="83" t="str">
        <f>IF(ISBLANK(VLOOKUP(L26,[1]Upcoming!$A$5:$I$185,7,FALSE)),"",VLOOKUP(L26,[1]Upcoming!$A$5:$I$185,7,FALSE))</f>
        <v/>
      </c>
      <c r="AB26" s="84"/>
      <c r="AC26" s="82" t="str">
        <f>IF(ISBLANK(VLOOKUP(L26,[1]Upcoming!$A$5:$I$185,8,FALSE)),"",VLOOKUP(L26,[1]Upcoming!$A$5:$I$185,8,FALSE))</f>
        <v/>
      </c>
      <c r="AD26" s="83" t="str">
        <f>IF(ISBLANK(VLOOKUP(L26,[1]Upcoming!$A$5:$I$185,9,FALSE)),"",VLOOKUP(L26,[1]Upcoming!$A$5:$I$185,9,FALSE))</f>
        <v/>
      </c>
      <c r="AE26" s="20"/>
      <c r="AF26" s="20"/>
      <c r="AG26" s="20"/>
      <c r="AH26" s="2"/>
      <c r="AI26" s="2"/>
      <c r="AJ26" s="2"/>
      <c r="AK26" s="2"/>
    </row>
    <row r="27" spans="1:37" ht="25.5" customHeight="1" thickBot="1" x14ac:dyDescent="0.3">
      <c r="A27" s="1"/>
      <c r="B27" s="2"/>
      <c r="C27" s="2"/>
      <c r="D27" s="2"/>
      <c r="E27" s="2"/>
      <c r="F27" s="2"/>
      <c r="G27" s="2"/>
      <c r="H27" s="2"/>
      <c r="I27" s="2"/>
      <c r="J27" s="2"/>
      <c r="K27" s="74" t="e">
        <f t="shared" ca="1" si="0"/>
        <v>#REF!</v>
      </c>
      <c r="L27" s="97" t="s">
        <v>317</v>
      </c>
      <c r="M27" s="86"/>
      <c r="N27" s="106" t="e">
        <f t="shared" ca="1" si="1"/>
        <v>#REF!</v>
      </c>
      <c r="O27" s="87" t="e">
        <f t="shared" ca="1" si="2"/>
        <v>#REF!</v>
      </c>
      <c r="P27" s="88" t="e">
        <f t="shared" ca="1" si="3"/>
        <v>#REF!</v>
      </c>
      <c r="Q27" s="89" t="e">
        <f t="shared" ca="1" si="4"/>
        <v>#REF!</v>
      </c>
      <c r="R27" s="111" t="e">
        <f t="shared" ca="1" si="5"/>
        <v>#REF!</v>
      </c>
      <c r="S27" s="81"/>
      <c r="T27" s="82">
        <f>VLOOKUP(L27,[1]Upcoming!$A$5:$I$185,2,FALSE)</f>
        <v>2</v>
      </c>
      <c r="U27" s="83">
        <f>VLOOKUP(L27,[1]Upcoming!$A$5:$I$185,3,FALSE)</f>
        <v>1</v>
      </c>
      <c r="V27" s="84"/>
      <c r="W27" s="82" t="e">
        <f>IF(ISBLANK(VLOOKUP(I27,[1]Upcoming!$A$5:$I$185,4,FALSE)),"",VLOOKUP(I27,[1]Upcoming!$A$5:$I$185,4,FALSE))</f>
        <v>#N/A</v>
      </c>
      <c r="X27" s="83" t="e">
        <f>IF(ISBLANK(VLOOKUP(I27,[1]Upcoming!$A$5:$I$185,5,FALSE)),"",VLOOKUP(I27,[1]Upcoming!$A$5:$I$185,5,FALSE))</f>
        <v>#N/A</v>
      </c>
      <c r="Y27" s="84"/>
      <c r="Z27" s="82" t="str">
        <f>IF(ISBLANK(VLOOKUP(L27,[1]Upcoming!$A$5:$I$185,6,FALSE)),"",VLOOKUP(L27,[1]Upcoming!$A$5:$I$185,6,FALSE))</f>
        <v/>
      </c>
      <c r="AA27" s="83" t="str">
        <f>IF(ISBLANK(VLOOKUP(L27,[1]Upcoming!$A$5:$I$185,7,FALSE)),"",VLOOKUP(L27,[1]Upcoming!$A$5:$I$185,7,FALSE))</f>
        <v/>
      </c>
      <c r="AB27" s="84"/>
      <c r="AC27" s="82" t="str">
        <f>IF(ISBLANK(VLOOKUP(L27,[1]Upcoming!$A$5:$I$185,8,FALSE)),"",VLOOKUP(L27,[1]Upcoming!$A$5:$I$185,8,FALSE))</f>
        <v/>
      </c>
      <c r="AD27" s="83" t="str">
        <f>IF(ISBLANK(VLOOKUP(L27,[1]Upcoming!$A$5:$I$185,9,FALSE)),"",VLOOKUP(L27,[1]Upcoming!$A$5:$I$185,9,FALSE))</f>
        <v/>
      </c>
      <c r="AE27" s="20"/>
      <c r="AF27" s="20"/>
      <c r="AG27" s="20"/>
      <c r="AH27" s="2"/>
      <c r="AI27" s="2"/>
      <c r="AJ27" s="2"/>
      <c r="AK27" s="2"/>
    </row>
    <row r="28" spans="1:37" ht="25.5" customHeight="1" thickBot="1" x14ac:dyDescent="0.3">
      <c r="A28" s="1"/>
      <c r="B28" s="2"/>
      <c r="C28" s="2"/>
      <c r="D28" s="2"/>
      <c r="E28" s="2"/>
      <c r="F28" s="2"/>
      <c r="G28" s="2"/>
      <c r="H28" s="2"/>
      <c r="I28" s="2"/>
      <c r="J28" s="2"/>
      <c r="K28" s="74" t="e">
        <f t="shared" ca="1" si="0"/>
        <v>#REF!</v>
      </c>
      <c r="L28" s="97" t="s">
        <v>358</v>
      </c>
      <c r="M28" s="86"/>
      <c r="N28" s="106" t="e">
        <f t="shared" ca="1" si="1"/>
        <v>#REF!</v>
      </c>
      <c r="O28" s="87" t="e">
        <f t="shared" ca="1" si="2"/>
        <v>#REF!</v>
      </c>
      <c r="P28" s="88" t="e">
        <f t="shared" ca="1" si="3"/>
        <v>#REF!</v>
      </c>
      <c r="Q28" s="89" t="e">
        <f t="shared" ca="1" si="4"/>
        <v>#REF!</v>
      </c>
      <c r="R28" s="111" t="e">
        <f t="shared" ca="1" si="5"/>
        <v>#REF!</v>
      </c>
      <c r="S28" s="81"/>
      <c r="T28" s="82">
        <f>VLOOKUP(L28,[1]Upcoming!$A$5:$I$185,2,FALSE)</f>
        <v>2</v>
      </c>
      <c r="U28" s="83">
        <f>VLOOKUP(L28,[1]Upcoming!$A$5:$I$185,3,FALSE)</f>
        <v>1</v>
      </c>
      <c r="V28" s="84"/>
      <c r="W28" s="82" t="e">
        <f>IF(ISBLANK(VLOOKUP(I28,[1]Upcoming!$A$5:$I$185,4,FALSE)),"",VLOOKUP(I28,[1]Upcoming!$A$5:$I$185,4,FALSE))</f>
        <v>#N/A</v>
      </c>
      <c r="X28" s="83" t="e">
        <f>IF(ISBLANK(VLOOKUP(I28,[1]Upcoming!$A$5:$I$185,5,FALSE)),"",VLOOKUP(I28,[1]Upcoming!$A$5:$I$185,5,FALSE))</f>
        <v>#N/A</v>
      </c>
      <c r="Y28" s="84"/>
      <c r="Z28" s="82" t="str">
        <f>IF(ISBLANK(VLOOKUP(L28,[1]Upcoming!$A$5:$I$185,6,FALSE)),"",VLOOKUP(L28,[1]Upcoming!$A$5:$I$185,6,FALSE))</f>
        <v/>
      </c>
      <c r="AA28" s="83" t="str">
        <f>IF(ISBLANK(VLOOKUP(L28,[1]Upcoming!$A$5:$I$185,7,FALSE)),"",VLOOKUP(L28,[1]Upcoming!$A$5:$I$185,7,FALSE))</f>
        <v/>
      </c>
      <c r="AB28" s="84"/>
      <c r="AC28" s="82" t="str">
        <f>IF(ISBLANK(VLOOKUP(L28,[1]Upcoming!$A$5:$I$185,8,FALSE)),"",VLOOKUP(L28,[1]Upcoming!$A$5:$I$185,8,FALSE))</f>
        <v/>
      </c>
      <c r="AD28" s="83" t="str">
        <f>IF(ISBLANK(VLOOKUP(L28,[1]Upcoming!$A$5:$I$185,9,FALSE)),"",VLOOKUP(L28,[1]Upcoming!$A$5:$I$185,9,FALSE))</f>
        <v/>
      </c>
      <c r="AE28" s="20"/>
      <c r="AF28" s="20"/>
      <c r="AG28" s="20"/>
      <c r="AH28" s="2"/>
      <c r="AI28" s="2"/>
      <c r="AJ28" s="2"/>
      <c r="AK28" s="2"/>
    </row>
    <row r="29" spans="1:37" ht="25.5" customHeight="1" thickBot="1" x14ac:dyDescent="0.3">
      <c r="A29" s="1"/>
      <c r="B29" s="2"/>
      <c r="C29" s="2"/>
      <c r="D29" s="2"/>
      <c r="E29" s="2"/>
      <c r="F29" s="2"/>
      <c r="G29" s="2"/>
      <c r="H29" s="2"/>
      <c r="I29" s="2"/>
      <c r="J29" s="2"/>
      <c r="K29" s="74" t="e">
        <f t="shared" ca="1" si="0"/>
        <v>#REF!</v>
      </c>
      <c r="L29" s="97" t="s">
        <v>249</v>
      </c>
      <c r="M29" s="86"/>
      <c r="N29" s="106" t="e">
        <f t="shared" ca="1" si="1"/>
        <v>#REF!</v>
      </c>
      <c r="O29" s="87" t="e">
        <f t="shared" ca="1" si="2"/>
        <v>#REF!</v>
      </c>
      <c r="P29" s="88" t="e">
        <f t="shared" ca="1" si="3"/>
        <v>#REF!</v>
      </c>
      <c r="Q29" s="89" t="e">
        <f t="shared" ca="1" si="4"/>
        <v>#REF!</v>
      </c>
      <c r="R29" s="90" t="e">
        <f t="shared" ca="1" si="5"/>
        <v>#REF!</v>
      </c>
      <c r="S29" s="81"/>
      <c r="T29" s="82">
        <f>VLOOKUP(L29,[1]Upcoming!$A$5:$I$185,2,FALSE)</f>
        <v>1</v>
      </c>
      <c r="U29" s="83">
        <f>VLOOKUP(L29,[1]Upcoming!$A$5:$I$185,3,FALSE)</f>
        <v>1</v>
      </c>
      <c r="V29" s="84"/>
      <c r="W29" s="82" t="e">
        <f>IF(ISBLANK(VLOOKUP(I29,[1]Upcoming!$A$5:$I$185,4,FALSE)),"",VLOOKUP(I29,[1]Upcoming!$A$5:$I$185,4,FALSE))</f>
        <v>#N/A</v>
      </c>
      <c r="X29" s="83" t="e">
        <f>IF(ISBLANK(VLOOKUP(I29,[1]Upcoming!$A$5:$I$185,5,FALSE)),"",VLOOKUP(I29,[1]Upcoming!$A$5:$I$185,5,FALSE))</f>
        <v>#N/A</v>
      </c>
      <c r="Y29" s="84"/>
      <c r="Z29" s="82" t="str">
        <f>IF(ISBLANK(VLOOKUP(L29,[1]Upcoming!$A$5:$I$185,6,FALSE)),"",VLOOKUP(L29,[1]Upcoming!$A$5:$I$185,6,FALSE))</f>
        <v/>
      </c>
      <c r="AA29" s="83" t="str">
        <f>IF(ISBLANK(VLOOKUP(L29,[1]Upcoming!$A$5:$I$185,7,FALSE)),"",VLOOKUP(L29,[1]Upcoming!$A$5:$I$185,7,FALSE))</f>
        <v/>
      </c>
      <c r="AB29" s="84"/>
      <c r="AC29" s="82" t="str">
        <f>IF(ISBLANK(VLOOKUP(L29,[1]Upcoming!$A$5:$I$185,8,FALSE)),"",VLOOKUP(L29,[1]Upcoming!$A$5:$I$185,8,FALSE))</f>
        <v/>
      </c>
      <c r="AD29" s="83" t="str">
        <f>IF(ISBLANK(VLOOKUP(L29,[1]Upcoming!$A$5:$I$185,9,FALSE)),"",VLOOKUP(L29,[1]Upcoming!$A$5:$I$185,9,FALSE))</f>
        <v/>
      </c>
      <c r="AE29" s="20"/>
      <c r="AF29" s="20"/>
      <c r="AG29" s="20"/>
      <c r="AH29" s="2"/>
      <c r="AI29" s="2"/>
      <c r="AJ29" s="2"/>
      <c r="AK29" s="2"/>
    </row>
    <row r="30" spans="1:37" ht="25.5" customHeight="1" thickBot="1" x14ac:dyDescent="0.3">
      <c r="A30" s="1"/>
      <c r="B30" s="2"/>
      <c r="C30" s="2"/>
      <c r="D30" s="2"/>
      <c r="E30" s="2"/>
      <c r="F30" s="2"/>
      <c r="G30" s="2"/>
      <c r="H30" s="2"/>
      <c r="I30" s="2"/>
      <c r="J30" s="2"/>
      <c r="K30" s="74" t="e">
        <f t="shared" ca="1" si="0"/>
        <v>#REF!</v>
      </c>
      <c r="L30" s="97" t="s">
        <v>50</v>
      </c>
      <c r="M30" s="86"/>
      <c r="N30" s="106" t="e">
        <f t="shared" ca="1" si="1"/>
        <v>#REF!</v>
      </c>
      <c r="O30" s="87" t="e">
        <f t="shared" ca="1" si="2"/>
        <v>#REF!</v>
      </c>
      <c r="P30" s="88" t="e">
        <f t="shared" ca="1" si="3"/>
        <v>#REF!</v>
      </c>
      <c r="Q30" s="89" t="e">
        <f t="shared" ca="1" si="4"/>
        <v>#REF!</v>
      </c>
      <c r="R30" s="90" t="e">
        <f t="shared" ca="1" si="5"/>
        <v>#REF!</v>
      </c>
      <c r="S30" s="81"/>
      <c r="T30" s="82">
        <f>VLOOKUP(L30,[1]Upcoming!$A$5:$I$185,2,FALSE)</f>
        <v>2</v>
      </c>
      <c r="U30" s="83">
        <f>VLOOKUP(L30,[1]Upcoming!$A$5:$I$185,3,FALSE)</f>
        <v>1</v>
      </c>
      <c r="V30" s="84"/>
      <c r="W30" s="82" t="e">
        <f>IF(ISBLANK(VLOOKUP(I30,[1]Upcoming!$A$5:$I$185,4,FALSE)),"",VLOOKUP(I30,[1]Upcoming!$A$5:$I$185,4,FALSE))</f>
        <v>#N/A</v>
      </c>
      <c r="X30" s="83" t="e">
        <f>IF(ISBLANK(VLOOKUP(I30,[1]Upcoming!$A$5:$I$185,5,FALSE)),"",VLOOKUP(I30,[1]Upcoming!$A$5:$I$185,5,FALSE))</f>
        <v>#N/A</v>
      </c>
      <c r="Y30" s="84"/>
      <c r="Z30" s="82" t="str">
        <f>IF(ISBLANK(VLOOKUP(L30,[1]Upcoming!$A$5:$I$185,6,FALSE)),"",VLOOKUP(L30,[1]Upcoming!$A$5:$I$185,6,FALSE))</f>
        <v/>
      </c>
      <c r="AA30" s="83" t="str">
        <f>IF(ISBLANK(VLOOKUP(L30,[1]Upcoming!$A$5:$I$185,7,FALSE)),"",VLOOKUP(L30,[1]Upcoming!$A$5:$I$185,7,FALSE))</f>
        <v/>
      </c>
      <c r="AB30" s="84"/>
      <c r="AC30" s="82" t="str">
        <f>IF(ISBLANK(VLOOKUP(L30,[1]Upcoming!$A$5:$I$185,8,FALSE)),"",VLOOKUP(L30,[1]Upcoming!$A$5:$I$185,8,FALSE))</f>
        <v/>
      </c>
      <c r="AD30" s="83" t="str">
        <f>IF(ISBLANK(VLOOKUP(L30,[1]Upcoming!$A$5:$I$185,9,FALSE)),"",VLOOKUP(L30,[1]Upcoming!$A$5:$I$185,9,FALSE))</f>
        <v/>
      </c>
      <c r="AE30" s="20"/>
      <c r="AF30" s="20"/>
      <c r="AG30" s="20"/>
      <c r="AH30" s="2"/>
      <c r="AI30" s="2"/>
      <c r="AJ30" s="2"/>
      <c r="AK30" s="2"/>
    </row>
    <row r="31" spans="1:37" ht="25.5" customHeight="1" thickBot="1" x14ac:dyDescent="0.3">
      <c r="A31" s="1"/>
      <c r="B31" s="2"/>
      <c r="C31" s="2"/>
      <c r="D31" s="2"/>
      <c r="E31" s="2"/>
      <c r="F31" s="2"/>
      <c r="G31" s="2"/>
      <c r="H31" s="2"/>
      <c r="I31" s="2"/>
      <c r="J31" s="2"/>
      <c r="K31" s="74" t="e">
        <f t="shared" ca="1" si="0"/>
        <v>#REF!</v>
      </c>
      <c r="L31" s="97" t="s">
        <v>72</v>
      </c>
      <c r="M31" s="86"/>
      <c r="N31" s="106" t="e">
        <f t="shared" ca="1" si="1"/>
        <v>#REF!</v>
      </c>
      <c r="O31" s="87" t="e">
        <f t="shared" ca="1" si="2"/>
        <v>#REF!</v>
      </c>
      <c r="P31" s="88" t="e">
        <f t="shared" ca="1" si="3"/>
        <v>#REF!</v>
      </c>
      <c r="Q31" s="89" t="e">
        <f t="shared" ca="1" si="4"/>
        <v>#REF!</v>
      </c>
      <c r="R31" s="90" t="e">
        <f t="shared" ca="1" si="5"/>
        <v>#REF!</v>
      </c>
      <c r="S31" s="81"/>
      <c r="T31" s="82">
        <f>VLOOKUP(L31,[1]Upcoming!$A$5:$I$185,2,FALSE)</f>
        <v>2</v>
      </c>
      <c r="U31" s="83">
        <f>VLOOKUP(L31,[1]Upcoming!$A$5:$I$185,3,FALSE)</f>
        <v>1</v>
      </c>
      <c r="V31" s="84"/>
      <c r="W31" s="82" t="e">
        <f>IF(ISBLANK(VLOOKUP(I31,[1]Upcoming!$A$5:$I$185,4,FALSE)),"",VLOOKUP(I31,[1]Upcoming!$A$5:$I$185,4,FALSE))</f>
        <v>#N/A</v>
      </c>
      <c r="X31" s="83" t="e">
        <f>IF(ISBLANK(VLOOKUP(I31,[1]Upcoming!$A$5:$I$185,5,FALSE)),"",VLOOKUP(I31,[1]Upcoming!$A$5:$I$185,5,FALSE))</f>
        <v>#N/A</v>
      </c>
      <c r="Y31" s="84"/>
      <c r="Z31" s="82" t="str">
        <f>IF(ISBLANK(VLOOKUP(L31,[1]Upcoming!$A$5:$I$185,6,FALSE)),"",VLOOKUP(L31,[1]Upcoming!$A$5:$I$185,6,FALSE))</f>
        <v/>
      </c>
      <c r="AA31" s="83" t="str">
        <f>IF(ISBLANK(VLOOKUP(L31,[1]Upcoming!$A$5:$I$185,7,FALSE)),"",VLOOKUP(L31,[1]Upcoming!$A$5:$I$185,7,FALSE))</f>
        <v/>
      </c>
      <c r="AB31" s="84"/>
      <c r="AC31" s="82" t="str">
        <f>IF(ISBLANK(VLOOKUP(L31,[1]Upcoming!$A$5:$I$185,8,FALSE)),"",VLOOKUP(L31,[1]Upcoming!$A$5:$I$185,8,FALSE))</f>
        <v/>
      </c>
      <c r="AD31" s="83" t="str">
        <f>IF(ISBLANK(VLOOKUP(L31,[1]Upcoming!$A$5:$I$185,9,FALSE)),"",VLOOKUP(L31,[1]Upcoming!$A$5:$I$185,9,FALSE))</f>
        <v/>
      </c>
      <c r="AE31" s="20"/>
      <c r="AF31" s="20"/>
      <c r="AG31" s="20"/>
      <c r="AH31" s="2"/>
      <c r="AI31" s="2"/>
      <c r="AJ31" s="2"/>
      <c r="AK31" s="2"/>
    </row>
    <row r="32" spans="1:37" ht="25.5" customHeight="1" thickBot="1" x14ac:dyDescent="0.3">
      <c r="A32" s="1"/>
      <c r="B32" s="2"/>
      <c r="C32" s="2"/>
      <c r="D32" s="2"/>
      <c r="E32" s="2"/>
      <c r="F32" s="2"/>
      <c r="G32" s="2"/>
      <c r="H32" s="2"/>
      <c r="I32" s="2"/>
      <c r="J32" s="2"/>
      <c r="K32" s="74" t="e">
        <f t="shared" ca="1" si="0"/>
        <v>#REF!</v>
      </c>
      <c r="L32" s="97" t="s">
        <v>32</v>
      </c>
      <c r="M32" s="86"/>
      <c r="N32" s="106" t="e">
        <f t="shared" ca="1" si="1"/>
        <v>#REF!</v>
      </c>
      <c r="O32" s="87" t="e">
        <f t="shared" ca="1" si="2"/>
        <v>#REF!</v>
      </c>
      <c r="P32" s="88" t="e">
        <f t="shared" ca="1" si="3"/>
        <v>#REF!</v>
      </c>
      <c r="Q32" s="89" t="e">
        <f t="shared" ca="1" si="4"/>
        <v>#REF!</v>
      </c>
      <c r="R32" s="90" t="e">
        <f t="shared" ca="1" si="5"/>
        <v>#REF!</v>
      </c>
      <c r="S32" s="81"/>
      <c r="T32" s="82">
        <f>VLOOKUP(L32,[1]Upcoming!$A$5:$I$185,2,FALSE)</f>
        <v>1</v>
      </c>
      <c r="U32" s="83">
        <f>VLOOKUP(L32,[1]Upcoming!$A$5:$I$185,3,FALSE)</f>
        <v>1</v>
      </c>
      <c r="V32" s="84"/>
      <c r="W32" s="82" t="e">
        <f>IF(ISBLANK(VLOOKUP(I32,[1]Upcoming!$A$5:$I$185,4,FALSE)),"",VLOOKUP(I32,[1]Upcoming!$A$5:$I$185,4,FALSE))</f>
        <v>#N/A</v>
      </c>
      <c r="X32" s="83" t="e">
        <f>IF(ISBLANK(VLOOKUP(I32,[1]Upcoming!$A$5:$I$185,5,FALSE)),"",VLOOKUP(I32,[1]Upcoming!$A$5:$I$185,5,FALSE))</f>
        <v>#N/A</v>
      </c>
      <c r="Y32" s="84"/>
      <c r="Z32" s="82" t="str">
        <f>IF(ISBLANK(VLOOKUP(L32,[1]Upcoming!$A$5:$I$185,6,FALSE)),"",VLOOKUP(L32,[1]Upcoming!$A$5:$I$185,6,FALSE))</f>
        <v/>
      </c>
      <c r="AA32" s="83" t="str">
        <f>IF(ISBLANK(VLOOKUP(L32,[1]Upcoming!$A$5:$I$185,7,FALSE)),"",VLOOKUP(L32,[1]Upcoming!$A$5:$I$185,7,FALSE))</f>
        <v/>
      </c>
      <c r="AB32" s="84"/>
      <c r="AC32" s="82" t="str">
        <f>IF(ISBLANK(VLOOKUP(L32,[1]Upcoming!$A$5:$I$185,8,FALSE)),"",VLOOKUP(L32,[1]Upcoming!$A$5:$I$185,8,FALSE))</f>
        <v/>
      </c>
      <c r="AD32" s="83" t="str">
        <f>IF(ISBLANK(VLOOKUP(L32,[1]Upcoming!$A$5:$I$185,9,FALSE)),"",VLOOKUP(L32,[1]Upcoming!$A$5:$I$185,9,FALSE))</f>
        <v/>
      </c>
      <c r="AE32" s="20"/>
      <c r="AF32" s="20"/>
      <c r="AG32" s="20"/>
      <c r="AH32" s="2"/>
      <c r="AI32" s="2"/>
      <c r="AJ32" s="2"/>
      <c r="AK32" s="2"/>
    </row>
    <row r="33" spans="1:37" ht="25.5" customHeight="1" thickBo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74" t="e">
        <f t="shared" ca="1" si="0"/>
        <v>#REF!</v>
      </c>
      <c r="L33" s="97" t="s">
        <v>304</v>
      </c>
      <c r="M33" s="86"/>
      <c r="N33" s="106" t="e">
        <f t="shared" ca="1" si="1"/>
        <v>#REF!</v>
      </c>
      <c r="O33" s="87" t="e">
        <f t="shared" ca="1" si="2"/>
        <v>#REF!</v>
      </c>
      <c r="P33" s="88" t="e">
        <f t="shared" ca="1" si="3"/>
        <v>#REF!</v>
      </c>
      <c r="Q33" s="89" t="e">
        <f t="shared" ca="1" si="4"/>
        <v>#REF!</v>
      </c>
      <c r="R33" s="111" t="e">
        <f t="shared" ca="1" si="5"/>
        <v>#REF!</v>
      </c>
      <c r="S33" s="81"/>
      <c r="T33" s="82">
        <f>VLOOKUP(L33,[1]Upcoming!$A$5:$I$185,2,FALSE)</f>
        <v>3</v>
      </c>
      <c r="U33" s="83">
        <f>VLOOKUP(L33,[1]Upcoming!$A$5:$I$185,3,FALSE)</f>
        <v>1</v>
      </c>
      <c r="V33" s="84"/>
      <c r="W33" s="82" t="e">
        <f>IF(ISBLANK(VLOOKUP(I33,[1]Upcoming!$A$5:$I$185,4,FALSE)),"",VLOOKUP(I33,[1]Upcoming!$A$5:$I$185,4,FALSE))</f>
        <v>#N/A</v>
      </c>
      <c r="X33" s="83" t="e">
        <f>IF(ISBLANK(VLOOKUP(I33,[1]Upcoming!$A$5:$I$185,5,FALSE)),"",VLOOKUP(I33,[1]Upcoming!$A$5:$I$185,5,FALSE))</f>
        <v>#N/A</v>
      </c>
      <c r="Y33" s="84"/>
      <c r="Z33" s="82" t="str">
        <f>IF(ISBLANK(VLOOKUP(L33,[1]Upcoming!$A$5:$I$185,6,FALSE)),"",VLOOKUP(L33,[1]Upcoming!$A$5:$I$185,6,FALSE))</f>
        <v/>
      </c>
      <c r="AA33" s="83" t="str">
        <f>IF(ISBLANK(VLOOKUP(L33,[1]Upcoming!$A$5:$I$185,7,FALSE)),"",VLOOKUP(L33,[1]Upcoming!$A$5:$I$185,7,FALSE))</f>
        <v/>
      </c>
      <c r="AB33" s="84"/>
      <c r="AC33" s="82" t="str">
        <f>IF(ISBLANK(VLOOKUP(L33,[1]Upcoming!$A$5:$I$185,8,FALSE)),"",VLOOKUP(L33,[1]Upcoming!$A$5:$I$185,8,FALSE))</f>
        <v/>
      </c>
      <c r="AD33" s="83" t="str">
        <f>IF(ISBLANK(VLOOKUP(L33,[1]Upcoming!$A$5:$I$185,9,FALSE)),"",VLOOKUP(L33,[1]Upcoming!$A$5:$I$185,9,FALSE))</f>
        <v/>
      </c>
      <c r="AE33" s="20"/>
      <c r="AF33" s="20"/>
      <c r="AG33" s="20"/>
      <c r="AH33" s="2"/>
      <c r="AI33" s="2"/>
      <c r="AJ33" s="2"/>
      <c r="AK33" s="2"/>
    </row>
    <row r="34" spans="1:37" ht="25.5" customHeight="1" thickBot="1" x14ac:dyDescent="0.3">
      <c r="A34" s="1"/>
      <c r="B34" s="2"/>
      <c r="C34" s="2"/>
      <c r="D34" s="2"/>
      <c r="E34" s="2"/>
      <c r="F34" s="2"/>
      <c r="G34" s="2"/>
      <c r="H34" s="2"/>
      <c r="I34" s="2"/>
      <c r="J34" s="2"/>
      <c r="K34" s="74" t="e">
        <f t="shared" ca="1" si="0"/>
        <v>#REF!</v>
      </c>
      <c r="L34" s="97" t="s">
        <v>53</v>
      </c>
      <c r="M34" s="86"/>
      <c r="N34" s="106" t="e">
        <f t="shared" ca="1" si="1"/>
        <v>#REF!</v>
      </c>
      <c r="O34" s="87" t="e">
        <f t="shared" ca="1" si="2"/>
        <v>#REF!</v>
      </c>
      <c r="P34" s="88" t="e">
        <f t="shared" ca="1" si="3"/>
        <v>#REF!</v>
      </c>
      <c r="Q34" s="89" t="e">
        <f t="shared" ca="1" si="4"/>
        <v>#REF!</v>
      </c>
      <c r="R34" s="90" t="e">
        <f t="shared" ca="1" si="5"/>
        <v>#REF!</v>
      </c>
      <c r="S34" s="81"/>
      <c r="T34" s="82">
        <f>VLOOKUP(L34,[1]Upcoming!$A$5:$I$185,2,FALSE)</f>
        <v>1</v>
      </c>
      <c r="U34" s="83">
        <f>VLOOKUP(L34,[1]Upcoming!$A$5:$I$185,3,FALSE)</f>
        <v>2</v>
      </c>
      <c r="V34" s="84"/>
      <c r="W34" s="82" t="e">
        <f>IF(ISBLANK(VLOOKUP(I34,[1]Upcoming!$A$5:$I$185,4,FALSE)),"",VLOOKUP(I34,[1]Upcoming!$A$5:$I$185,4,FALSE))</f>
        <v>#N/A</v>
      </c>
      <c r="X34" s="83" t="e">
        <f>IF(ISBLANK(VLOOKUP(I34,[1]Upcoming!$A$5:$I$185,5,FALSE)),"",VLOOKUP(I34,[1]Upcoming!$A$5:$I$185,5,FALSE))</f>
        <v>#N/A</v>
      </c>
      <c r="Y34" s="84"/>
      <c r="Z34" s="82" t="str">
        <f>IF(ISBLANK(VLOOKUP(L34,[1]Upcoming!$A$5:$I$185,6,FALSE)),"",VLOOKUP(L34,[1]Upcoming!$A$5:$I$185,6,FALSE))</f>
        <v/>
      </c>
      <c r="AA34" s="83" t="str">
        <f>IF(ISBLANK(VLOOKUP(L34,[1]Upcoming!$A$5:$I$185,7,FALSE)),"",VLOOKUP(L34,[1]Upcoming!$A$5:$I$185,7,FALSE))</f>
        <v/>
      </c>
      <c r="AB34" s="84"/>
      <c r="AC34" s="82" t="str">
        <f>IF(ISBLANK(VLOOKUP(L34,[1]Upcoming!$A$5:$I$185,8,FALSE)),"",VLOOKUP(L34,[1]Upcoming!$A$5:$I$185,8,FALSE))</f>
        <v/>
      </c>
      <c r="AD34" s="83" t="str">
        <f>IF(ISBLANK(VLOOKUP(L34,[1]Upcoming!$A$5:$I$185,9,FALSE)),"",VLOOKUP(L34,[1]Upcoming!$A$5:$I$185,9,FALSE))</f>
        <v/>
      </c>
      <c r="AE34" s="20"/>
      <c r="AF34" s="20"/>
      <c r="AG34" s="20"/>
      <c r="AH34" s="2"/>
      <c r="AI34" s="2"/>
      <c r="AJ34" s="2"/>
      <c r="AK34" s="2"/>
    </row>
    <row r="35" spans="1:37" ht="25.5" customHeight="1" thickBot="1" x14ac:dyDescent="0.3">
      <c r="A35" s="1"/>
      <c r="B35" s="2"/>
      <c r="C35" s="2"/>
      <c r="D35" s="2"/>
      <c r="E35" s="2"/>
      <c r="F35" s="2"/>
      <c r="G35" s="2"/>
      <c r="H35" s="2"/>
      <c r="I35" s="2"/>
      <c r="J35" s="2"/>
      <c r="K35" s="74" t="e">
        <f t="shared" ca="1" si="0"/>
        <v>#REF!</v>
      </c>
      <c r="L35" s="97" t="s">
        <v>58</v>
      </c>
      <c r="M35" s="86"/>
      <c r="N35" s="106" t="e">
        <f t="shared" ca="1" si="1"/>
        <v>#REF!</v>
      </c>
      <c r="O35" s="87" t="e">
        <f t="shared" ca="1" si="2"/>
        <v>#REF!</v>
      </c>
      <c r="P35" s="88" t="e">
        <f t="shared" ca="1" si="3"/>
        <v>#REF!</v>
      </c>
      <c r="Q35" s="89" t="e">
        <f t="shared" ca="1" si="4"/>
        <v>#REF!</v>
      </c>
      <c r="R35" s="90" t="e">
        <f t="shared" ca="1" si="5"/>
        <v>#REF!</v>
      </c>
      <c r="S35" s="81"/>
      <c r="T35" s="82" t="str">
        <f>VLOOKUP(L35,[1]Upcoming!$A$5:$I$185,2,FALSE)</f>
        <v/>
      </c>
      <c r="U35" s="83" t="str">
        <f>VLOOKUP(L35,[1]Upcoming!$A$5:$I$185,3,FALSE)</f>
        <v/>
      </c>
      <c r="V35" s="84"/>
      <c r="W35" s="82" t="e">
        <f>IF(ISBLANK(VLOOKUP(I35,[1]Upcoming!$A$5:$I$185,4,FALSE)),"",VLOOKUP(I35,[1]Upcoming!$A$5:$I$185,4,FALSE))</f>
        <v>#N/A</v>
      </c>
      <c r="X35" s="83" t="e">
        <f>IF(ISBLANK(VLOOKUP(I35,[1]Upcoming!$A$5:$I$185,5,FALSE)),"",VLOOKUP(I35,[1]Upcoming!$A$5:$I$185,5,FALSE))</f>
        <v>#N/A</v>
      </c>
      <c r="Y35" s="84"/>
      <c r="Z35" s="82" t="str">
        <f>IF(ISBLANK(VLOOKUP(L35,[1]Upcoming!$A$5:$I$185,6,FALSE)),"",VLOOKUP(L35,[1]Upcoming!$A$5:$I$185,6,FALSE))</f>
        <v/>
      </c>
      <c r="AA35" s="83" t="str">
        <f>IF(ISBLANK(VLOOKUP(L35,[1]Upcoming!$A$5:$I$185,7,FALSE)),"",VLOOKUP(L35,[1]Upcoming!$A$5:$I$185,7,FALSE))</f>
        <v/>
      </c>
      <c r="AB35" s="84"/>
      <c r="AC35" s="82" t="str">
        <f>IF(ISBLANK(VLOOKUP(L35,[1]Upcoming!$A$5:$I$185,8,FALSE)),"",VLOOKUP(L35,[1]Upcoming!$A$5:$I$185,8,FALSE))</f>
        <v/>
      </c>
      <c r="AD35" s="83" t="str">
        <f>IF(ISBLANK(VLOOKUP(L35,[1]Upcoming!$A$5:$I$185,9,FALSE)),"",VLOOKUP(L35,[1]Upcoming!$A$5:$I$185,9,FALSE))</f>
        <v/>
      </c>
      <c r="AE35" s="20"/>
      <c r="AF35" s="20"/>
      <c r="AG35" s="20"/>
      <c r="AH35" s="2"/>
      <c r="AI35" s="2"/>
      <c r="AJ35" s="2"/>
      <c r="AK35" s="2"/>
    </row>
    <row r="36" spans="1:37" ht="25.5" customHeight="1" thickBot="1" x14ac:dyDescent="0.3">
      <c r="A36" s="1"/>
      <c r="B36" s="2"/>
      <c r="C36" s="2"/>
      <c r="D36" s="2"/>
      <c r="E36" s="2"/>
      <c r="F36" s="2"/>
      <c r="G36" s="2"/>
      <c r="H36" s="2"/>
      <c r="I36" s="2"/>
      <c r="J36" s="2"/>
      <c r="K36" s="74" t="e">
        <f t="shared" ca="1" si="0"/>
        <v>#REF!</v>
      </c>
      <c r="L36" s="97" t="s">
        <v>348</v>
      </c>
      <c r="M36" s="86"/>
      <c r="N36" s="106" t="e">
        <f t="shared" ca="1" si="1"/>
        <v>#REF!</v>
      </c>
      <c r="O36" s="87" t="e">
        <f t="shared" ca="1" si="2"/>
        <v>#REF!</v>
      </c>
      <c r="P36" s="88" t="e">
        <f t="shared" ca="1" si="3"/>
        <v>#REF!</v>
      </c>
      <c r="Q36" s="89" t="e">
        <f t="shared" ca="1" si="4"/>
        <v>#REF!</v>
      </c>
      <c r="R36" s="90" t="e">
        <f t="shared" ca="1" si="5"/>
        <v>#REF!</v>
      </c>
      <c r="S36" s="81"/>
      <c r="T36" s="82" t="str">
        <f>VLOOKUP(L36,[1]Upcoming!$A$5:$I$185,2,FALSE)</f>
        <v/>
      </c>
      <c r="U36" s="83" t="str">
        <f>VLOOKUP(L36,[1]Upcoming!$A$5:$I$185,3,FALSE)</f>
        <v/>
      </c>
      <c r="V36" s="84"/>
      <c r="W36" s="82" t="e">
        <f>IF(ISBLANK(VLOOKUP(I36,[1]Upcoming!$A$5:$I$185,4,FALSE)),"",VLOOKUP(I36,[1]Upcoming!$A$5:$I$185,4,FALSE))</f>
        <v>#N/A</v>
      </c>
      <c r="X36" s="83" t="e">
        <f>IF(ISBLANK(VLOOKUP(I36,[1]Upcoming!$A$5:$I$185,5,FALSE)),"",VLOOKUP(I36,[1]Upcoming!$A$5:$I$185,5,FALSE))</f>
        <v>#N/A</v>
      </c>
      <c r="Y36" s="84"/>
      <c r="Z36" s="82" t="str">
        <f>IF(ISBLANK(VLOOKUP(L36,[1]Upcoming!$A$5:$I$185,6,FALSE)),"",VLOOKUP(L36,[1]Upcoming!$A$5:$I$185,6,FALSE))</f>
        <v/>
      </c>
      <c r="AA36" s="83" t="str">
        <f>IF(ISBLANK(VLOOKUP(L36,[1]Upcoming!$A$5:$I$185,7,FALSE)),"",VLOOKUP(L36,[1]Upcoming!$A$5:$I$185,7,FALSE))</f>
        <v/>
      </c>
      <c r="AB36" s="84"/>
      <c r="AC36" s="82" t="str">
        <f>IF(ISBLANK(VLOOKUP(L36,[1]Upcoming!$A$5:$I$185,8,FALSE)),"",VLOOKUP(L36,[1]Upcoming!$A$5:$I$185,8,FALSE))</f>
        <v/>
      </c>
      <c r="AD36" s="83" t="str">
        <f>IF(ISBLANK(VLOOKUP(L36,[1]Upcoming!$A$5:$I$185,9,FALSE)),"",VLOOKUP(L36,[1]Upcoming!$A$5:$I$185,9,FALSE))</f>
        <v/>
      </c>
      <c r="AE36" s="20"/>
      <c r="AF36" s="20"/>
      <c r="AG36" s="20"/>
      <c r="AH36" s="2"/>
      <c r="AI36" s="2"/>
      <c r="AJ36" s="2"/>
      <c r="AK36" s="2"/>
    </row>
    <row r="37" spans="1:37" ht="25.5" customHeight="1" thickBot="1" x14ac:dyDescent="0.3">
      <c r="A37" s="1"/>
      <c r="B37" s="2"/>
      <c r="C37" s="2"/>
      <c r="D37" s="2"/>
      <c r="E37" s="2"/>
      <c r="F37" s="2"/>
      <c r="G37" s="2"/>
      <c r="H37" s="2"/>
      <c r="I37" s="2"/>
      <c r="J37" s="2"/>
      <c r="K37" s="74" t="e">
        <f t="shared" ca="1" si="0"/>
        <v>#REF!</v>
      </c>
      <c r="L37" s="97" t="s">
        <v>62</v>
      </c>
      <c r="M37" s="86"/>
      <c r="N37" s="106" t="e">
        <f t="shared" ca="1" si="1"/>
        <v>#REF!</v>
      </c>
      <c r="O37" s="87" t="e">
        <f t="shared" ca="1" si="2"/>
        <v>#REF!</v>
      </c>
      <c r="P37" s="88" t="e">
        <f t="shared" ca="1" si="3"/>
        <v>#REF!</v>
      </c>
      <c r="Q37" s="89" t="e">
        <f t="shared" ca="1" si="4"/>
        <v>#REF!</v>
      </c>
      <c r="R37" s="111" t="e">
        <f t="shared" ca="1" si="5"/>
        <v>#REF!</v>
      </c>
      <c r="S37" s="81"/>
      <c r="T37" s="82" t="str">
        <f>VLOOKUP(L37,[1]Upcoming!$A$5:$I$185,2,FALSE)</f>
        <v/>
      </c>
      <c r="U37" s="83" t="str">
        <f>VLOOKUP(L37,[1]Upcoming!$A$5:$I$185,3,FALSE)</f>
        <v/>
      </c>
      <c r="V37" s="84"/>
      <c r="W37" s="82" t="e">
        <f>IF(ISBLANK(VLOOKUP(I37,[1]Upcoming!$A$5:$I$185,4,FALSE)),"",VLOOKUP(I37,[1]Upcoming!$A$5:$I$185,4,FALSE))</f>
        <v>#N/A</v>
      </c>
      <c r="X37" s="83" t="e">
        <f>IF(ISBLANK(VLOOKUP(I37,[1]Upcoming!$A$5:$I$185,5,FALSE)),"",VLOOKUP(I37,[1]Upcoming!$A$5:$I$185,5,FALSE))</f>
        <v>#N/A</v>
      </c>
      <c r="Y37" s="84"/>
      <c r="Z37" s="82" t="str">
        <f>IF(ISBLANK(VLOOKUP(L37,[1]Upcoming!$A$5:$I$185,6,FALSE)),"",VLOOKUP(L37,[1]Upcoming!$A$5:$I$185,6,FALSE))</f>
        <v/>
      </c>
      <c r="AA37" s="83" t="str">
        <f>IF(ISBLANK(VLOOKUP(L37,[1]Upcoming!$A$5:$I$185,7,FALSE)),"",VLOOKUP(L37,[1]Upcoming!$A$5:$I$185,7,FALSE))</f>
        <v/>
      </c>
      <c r="AB37" s="84"/>
      <c r="AC37" s="82" t="str">
        <f>IF(ISBLANK(VLOOKUP(L37,[1]Upcoming!$A$5:$I$185,8,FALSE)),"",VLOOKUP(L37,[1]Upcoming!$A$5:$I$185,8,FALSE))</f>
        <v/>
      </c>
      <c r="AD37" s="83" t="str">
        <f>IF(ISBLANK(VLOOKUP(L37,[1]Upcoming!$A$5:$I$185,9,FALSE)),"",VLOOKUP(L37,[1]Upcoming!$A$5:$I$185,9,FALSE))</f>
        <v/>
      </c>
      <c r="AE37" s="20"/>
      <c r="AF37" s="20"/>
      <c r="AG37" s="20"/>
      <c r="AH37" s="2"/>
      <c r="AI37" s="2"/>
      <c r="AJ37" s="2"/>
      <c r="AK37" s="2"/>
    </row>
    <row r="38" spans="1:37" ht="25.5" customHeight="1" thickBot="1" x14ac:dyDescent="0.3">
      <c r="A38" s="1"/>
      <c r="B38" s="2"/>
      <c r="C38" s="2"/>
      <c r="D38" s="2"/>
      <c r="E38" s="2"/>
      <c r="F38" s="2"/>
      <c r="G38" s="2"/>
      <c r="H38" s="2"/>
      <c r="I38" s="2"/>
      <c r="J38" s="2"/>
      <c r="K38" s="74" t="e">
        <f t="shared" ca="1" si="0"/>
        <v>#REF!</v>
      </c>
      <c r="L38" s="97" t="s">
        <v>356</v>
      </c>
      <c r="M38" s="86"/>
      <c r="N38" s="106" t="e">
        <f t="shared" ca="1" si="1"/>
        <v>#REF!</v>
      </c>
      <c r="O38" s="114" t="e">
        <f t="shared" ca="1" si="2"/>
        <v>#REF!</v>
      </c>
      <c r="P38" s="88" t="e">
        <f t="shared" ca="1" si="3"/>
        <v>#REF!</v>
      </c>
      <c r="Q38" s="89" t="e">
        <f t="shared" ca="1" si="4"/>
        <v>#REF!</v>
      </c>
      <c r="R38" s="90" t="e">
        <f t="shared" ca="1" si="5"/>
        <v>#REF!</v>
      </c>
      <c r="S38" s="81"/>
      <c r="T38" s="82" t="str">
        <f>VLOOKUP(L38,[1]Upcoming!$A$5:$I$185,2,FALSE)</f>
        <v/>
      </c>
      <c r="U38" s="83" t="str">
        <f>VLOOKUP(L38,[1]Upcoming!$A$5:$I$185,3,FALSE)</f>
        <v/>
      </c>
      <c r="V38" s="84"/>
      <c r="W38" s="82" t="e">
        <f>IF(ISBLANK(VLOOKUP(I38,[1]Upcoming!$A$5:$I$185,4,FALSE)),"",VLOOKUP(I38,[1]Upcoming!$A$5:$I$185,4,FALSE))</f>
        <v>#N/A</v>
      </c>
      <c r="X38" s="83" t="e">
        <f>IF(ISBLANK(VLOOKUP(I38,[1]Upcoming!$A$5:$I$185,5,FALSE)),"",VLOOKUP(I38,[1]Upcoming!$A$5:$I$185,5,FALSE))</f>
        <v>#N/A</v>
      </c>
      <c r="Y38" s="84"/>
      <c r="Z38" s="82" t="str">
        <f>IF(ISBLANK(VLOOKUP(L38,[1]Upcoming!$A$5:$I$185,6,FALSE)),"",VLOOKUP(L38,[1]Upcoming!$A$5:$I$185,6,FALSE))</f>
        <v/>
      </c>
      <c r="AA38" s="83" t="str">
        <f>IF(ISBLANK(VLOOKUP(L38,[1]Upcoming!$A$5:$I$185,7,FALSE)),"",VLOOKUP(L38,[1]Upcoming!$A$5:$I$185,7,FALSE))</f>
        <v/>
      </c>
      <c r="AB38" s="84"/>
      <c r="AC38" s="82" t="str">
        <f>IF(ISBLANK(VLOOKUP(L38,[1]Upcoming!$A$5:$I$185,8,FALSE)),"",VLOOKUP(L38,[1]Upcoming!$A$5:$I$185,8,FALSE))</f>
        <v/>
      </c>
      <c r="AD38" s="83" t="str">
        <f>IF(ISBLANK(VLOOKUP(L38,[1]Upcoming!$A$5:$I$185,9,FALSE)),"",VLOOKUP(L38,[1]Upcoming!$A$5:$I$185,9,FALSE))</f>
        <v/>
      </c>
      <c r="AE38" s="20"/>
      <c r="AF38" s="20"/>
      <c r="AG38" s="20"/>
      <c r="AH38" s="2"/>
      <c r="AI38" s="2"/>
      <c r="AJ38" s="2"/>
      <c r="AK38" s="2"/>
    </row>
    <row r="39" spans="1:37" ht="25.5" customHeight="1" thickBot="1" x14ac:dyDescent="0.3">
      <c r="A39" s="1"/>
      <c r="B39" s="2"/>
      <c r="C39" s="2"/>
      <c r="D39" s="2"/>
      <c r="E39" s="2"/>
      <c r="F39" s="2"/>
      <c r="G39" s="2"/>
      <c r="H39" s="2"/>
      <c r="I39" s="2"/>
      <c r="J39" s="2"/>
      <c r="K39" s="74" t="e">
        <f t="shared" ca="1" si="0"/>
        <v>#REF!</v>
      </c>
      <c r="L39" s="97" t="s">
        <v>49</v>
      </c>
      <c r="M39" s="86"/>
      <c r="N39" s="106" t="e">
        <f t="shared" ca="1" si="1"/>
        <v>#REF!</v>
      </c>
      <c r="O39" s="87" t="e">
        <f t="shared" ca="1" si="2"/>
        <v>#REF!</v>
      </c>
      <c r="P39" s="88" t="e">
        <f t="shared" ca="1" si="3"/>
        <v>#REF!</v>
      </c>
      <c r="Q39" s="89" t="e">
        <f t="shared" ca="1" si="4"/>
        <v>#REF!</v>
      </c>
      <c r="R39" s="90" t="e">
        <f t="shared" ca="1" si="5"/>
        <v>#REF!</v>
      </c>
      <c r="S39" s="81"/>
      <c r="T39" s="82" t="str">
        <f>VLOOKUP(L39,[1]Upcoming!$A$5:$I$185,2,FALSE)</f>
        <v/>
      </c>
      <c r="U39" s="83" t="str">
        <f>VLOOKUP(L39,[1]Upcoming!$A$5:$I$185,3,FALSE)</f>
        <v/>
      </c>
      <c r="V39" s="84"/>
      <c r="W39" s="82" t="e">
        <f>IF(ISBLANK(VLOOKUP(I39,[1]Upcoming!$A$5:$I$185,4,FALSE)),"",VLOOKUP(I39,[1]Upcoming!$A$5:$I$185,4,FALSE))</f>
        <v>#N/A</v>
      </c>
      <c r="X39" s="83" t="e">
        <f>IF(ISBLANK(VLOOKUP(I39,[1]Upcoming!$A$5:$I$185,5,FALSE)),"",VLOOKUP(I39,[1]Upcoming!$A$5:$I$185,5,FALSE))</f>
        <v>#N/A</v>
      </c>
      <c r="Y39" s="84"/>
      <c r="Z39" s="82" t="str">
        <f>IF(ISBLANK(VLOOKUP(L39,[1]Upcoming!$A$5:$I$185,6,FALSE)),"",VLOOKUP(L39,[1]Upcoming!$A$5:$I$185,6,FALSE))</f>
        <v/>
      </c>
      <c r="AA39" s="83" t="str">
        <f>IF(ISBLANK(VLOOKUP(L39,[1]Upcoming!$A$5:$I$185,7,FALSE)),"",VLOOKUP(L39,[1]Upcoming!$A$5:$I$185,7,FALSE))</f>
        <v/>
      </c>
      <c r="AB39" s="84"/>
      <c r="AC39" s="82" t="str">
        <f>IF(ISBLANK(VLOOKUP(L39,[1]Upcoming!$A$5:$I$185,8,FALSE)),"",VLOOKUP(L39,[1]Upcoming!$A$5:$I$185,8,FALSE))</f>
        <v/>
      </c>
      <c r="AD39" s="83" t="str">
        <f>IF(ISBLANK(VLOOKUP(L39,[1]Upcoming!$A$5:$I$185,9,FALSE)),"",VLOOKUP(L39,[1]Upcoming!$A$5:$I$185,9,FALSE))</f>
        <v/>
      </c>
      <c r="AE39" s="20"/>
      <c r="AF39" s="20"/>
      <c r="AG39" s="20"/>
      <c r="AH39" s="2"/>
      <c r="AI39" s="2"/>
      <c r="AJ39" s="2"/>
      <c r="AK39" s="2"/>
    </row>
    <row r="40" spans="1:37" ht="25.5" customHeight="1" thickBot="1" x14ac:dyDescent="0.3">
      <c r="A40" s="1"/>
      <c r="B40" s="2"/>
      <c r="C40" s="2"/>
      <c r="D40" s="2"/>
      <c r="E40" s="2"/>
      <c r="F40" s="2"/>
      <c r="G40" s="2"/>
      <c r="H40" s="2"/>
      <c r="I40" s="2"/>
      <c r="J40" s="2"/>
      <c r="K40" s="74" t="e">
        <f t="shared" ca="1" si="0"/>
        <v>#REF!</v>
      </c>
      <c r="L40" s="97" t="s">
        <v>21</v>
      </c>
      <c r="M40" s="86"/>
      <c r="N40" s="106" t="e">
        <f t="shared" ca="1" si="1"/>
        <v>#REF!</v>
      </c>
      <c r="O40" s="87" t="e">
        <f t="shared" ca="1" si="2"/>
        <v>#REF!</v>
      </c>
      <c r="P40" s="88" t="e">
        <f t="shared" ca="1" si="3"/>
        <v>#REF!</v>
      </c>
      <c r="Q40" s="89" t="e">
        <f t="shared" ca="1" si="4"/>
        <v>#REF!</v>
      </c>
      <c r="R40" s="111" t="e">
        <f t="shared" ca="1" si="5"/>
        <v>#REF!</v>
      </c>
      <c r="S40" s="81"/>
      <c r="T40" s="82" t="str">
        <f>VLOOKUP(L40,[1]Upcoming!$A$5:$I$185,2,FALSE)</f>
        <v/>
      </c>
      <c r="U40" s="83" t="str">
        <f>VLOOKUP(L40,[1]Upcoming!$A$5:$I$185,3,FALSE)</f>
        <v/>
      </c>
      <c r="V40" s="84"/>
      <c r="W40" s="82" t="e">
        <f>IF(ISBLANK(VLOOKUP(I40,[1]Upcoming!$A$5:$I$185,4,FALSE)),"",VLOOKUP(I40,[1]Upcoming!$A$5:$I$185,4,FALSE))</f>
        <v>#N/A</v>
      </c>
      <c r="X40" s="83" t="e">
        <f>IF(ISBLANK(VLOOKUP(I40,[1]Upcoming!$A$5:$I$185,5,FALSE)),"",VLOOKUP(I40,[1]Upcoming!$A$5:$I$185,5,FALSE))</f>
        <v>#N/A</v>
      </c>
      <c r="Y40" s="84"/>
      <c r="Z40" s="82" t="str">
        <f>IF(ISBLANK(VLOOKUP(L40,[1]Upcoming!$A$5:$I$185,6,FALSE)),"",VLOOKUP(L40,[1]Upcoming!$A$5:$I$185,6,FALSE))</f>
        <v/>
      </c>
      <c r="AA40" s="83" t="str">
        <f>IF(ISBLANK(VLOOKUP(L40,[1]Upcoming!$A$5:$I$185,7,FALSE)),"",VLOOKUP(L40,[1]Upcoming!$A$5:$I$185,7,FALSE))</f>
        <v/>
      </c>
      <c r="AB40" s="84"/>
      <c r="AC40" s="82" t="str">
        <f>IF(ISBLANK(VLOOKUP(L40,[1]Upcoming!$A$5:$I$185,8,FALSE)),"",VLOOKUP(L40,[1]Upcoming!$A$5:$I$185,8,FALSE))</f>
        <v/>
      </c>
      <c r="AD40" s="83" t="str">
        <f>IF(ISBLANK(VLOOKUP(L40,[1]Upcoming!$A$5:$I$185,9,FALSE)),"",VLOOKUP(L40,[1]Upcoming!$A$5:$I$185,9,FALSE))</f>
        <v/>
      </c>
      <c r="AE40" s="20"/>
      <c r="AF40" s="20"/>
      <c r="AG40" s="20"/>
      <c r="AH40" s="2"/>
      <c r="AI40" s="2"/>
      <c r="AJ40" s="2"/>
      <c r="AK40" s="2"/>
    </row>
    <row r="41" spans="1:37" ht="25.5" customHeight="1" thickBot="1" x14ac:dyDescent="0.3">
      <c r="A41" s="1"/>
      <c r="B41" s="2"/>
      <c r="C41" s="2"/>
      <c r="D41" s="2"/>
      <c r="E41" s="2"/>
      <c r="F41" s="2"/>
      <c r="G41" s="2"/>
      <c r="H41" s="2"/>
      <c r="I41" s="2"/>
      <c r="J41" s="2"/>
      <c r="K41" s="74" t="e">
        <f t="shared" ca="1" si="0"/>
        <v>#REF!</v>
      </c>
      <c r="L41" s="97" t="s">
        <v>354</v>
      </c>
      <c r="M41" s="86"/>
      <c r="N41" s="106" t="e">
        <f t="shared" ca="1" si="1"/>
        <v>#REF!</v>
      </c>
      <c r="O41" s="87" t="e">
        <f t="shared" ca="1" si="2"/>
        <v>#REF!</v>
      </c>
      <c r="P41" s="88" t="e">
        <f t="shared" ca="1" si="3"/>
        <v>#REF!</v>
      </c>
      <c r="Q41" s="89" t="e">
        <f t="shared" ca="1" si="4"/>
        <v>#REF!</v>
      </c>
      <c r="R41" s="90" t="e">
        <f t="shared" ca="1" si="5"/>
        <v>#REF!</v>
      </c>
      <c r="S41" s="81"/>
      <c r="T41" s="82" t="str">
        <f>VLOOKUP(L41,[1]Upcoming!$A$5:$I$185,2,FALSE)</f>
        <v/>
      </c>
      <c r="U41" s="83" t="str">
        <f>VLOOKUP(L41,[1]Upcoming!$A$5:$I$185,3,FALSE)</f>
        <v/>
      </c>
      <c r="V41" s="84"/>
      <c r="W41" s="82" t="e">
        <f>IF(ISBLANK(VLOOKUP(I41,[1]Upcoming!$A$5:$I$185,4,FALSE)),"",VLOOKUP(I41,[1]Upcoming!$A$5:$I$185,4,FALSE))</f>
        <v>#N/A</v>
      </c>
      <c r="X41" s="83" t="e">
        <f>IF(ISBLANK(VLOOKUP(I41,[1]Upcoming!$A$5:$I$185,5,FALSE)),"",VLOOKUP(I41,[1]Upcoming!$A$5:$I$185,5,FALSE))</f>
        <v>#N/A</v>
      </c>
      <c r="Y41" s="84"/>
      <c r="Z41" s="82" t="str">
        <f>IF(ISBLANK(VLOOKUP(L41,[1]Upcoming!$A$5:$I$185,6,FALSE)),"",VLOOKUP(L41,[1]Upcoming!$A$5:$I$185,6,FALSE))</f>
        <v/>
      </c>
      <c r="AA41" s="83" t="str">
        <f>IF(ISBLANK(VLOOKUP(L41,[1]Upcoming!$A$5:$I$185,7,FALSE)),"",VLOOKUP(L41,[1]Upcoming!$A$5:$I$185,7,FALSE))</f>
        <v/>
      </c>
      <c r="AB41" s="84"/>
      <c r="AC41" s="82" t="str">
        <f>IF(ISBLANK(VLOOKUP(L41,[1]Upcoming!$A$5:$I$185,8,FALSE)),"",VLOOKUP(L41,[1]Upcoming!$A$5:$I$185,8,FALSE))</f>
        <v/>
      </c>
      <c r="AD41" s="83" t="str">
        <f>IF(ISBLANK(VLOOKUP(L41,[1]Upcoming!$A$5:$I$185,9,FALSE)),"",VLOOKUP(L41,[1]Upcoming!$A$5:$I$185,9,FALSE))</f>
        <v/>
      </c>
      <c r="AE41" s="20"/>
      <c r="AF41" s="20"/>
      <c r="AG41" s="20"/>
      <c r="AH41" s="2"/>
      <c r="AI41" s="2"/>
      <c r="AJ41" s="2"/>
      <c r="AK41" s="2"/>
    </row>
    <row r="42" spans="1:37" ht="25.5" customHeight="1" thickBot="1" x14ac:dyDescent="0.3">
      <c r="A42" s="1"/>
      <c r="B42" s="2"/>
      <c r="C42" s="2"/>
      <c r="D42" s="2"/>
      <c r="E42" s="2"/>
      <c r="F42" s="2"/>
      <c r="G42" s="2"/>
      <c r="H42" s="2"/>
      <c r="I42" s="2"/>
      <c r="J42" s="2"/>
      <c r="K42" s="74" t="e">
        <f t="shared" ca="1" si="0"/>
        <v>#REF!</v>
      </c>
      <c r="L42" s="97" t="s">
        <v>257</v>
      </c>
      <c r="M42" s="86"/>
      <c r="N42" s="106" t="e">
        <f t="shared" ca="1" si="1"/>
        <v>#REF!</v>
      </c>
      <c r="O42" s="87" t="e">
        <f t="shared" ca="1" si="2"/>
        <v>#REF!</v>
      </c>
      <c r="P42" s="88" t="e">
        <f t="shared" ca="1" si="3"/>
        <v>#REF!</v>
      </c>
      <c r="Q42" s="89" t="e">
        <f t="shared" ca="1" si="4"/>
        <v>#REF!</v>
      </c>
      <c r="R42" s="90" t="e">
        <f t="shared" ca="1" si="5"/>
        <v>#REF!</v>
      </c>
      <c r="S42" s="81"/>
      <c r="T42" s="82" t="str">
        <f>VLOOKUP(L42,[1]Upcoming!$A$5:$I$185,2,FALSE)</f>
        <v/>
      </c>
      <c r="U42" s="83" t="str">
        <f>VLOOKUP(L42,[1]Upcoming!$A$5:$I$185,3,FALSE)</f>
        <v/>
      </c>
      <c r="V42" s="84"/>
      <c r="W42" s="82" t="e">
        <f>IF(ISBLANK(VLOOKUP(I42,[1]Upcoming!$A$5:$I$185,4,FALSE)),"",VLOOKUP(I42,[1]Upcoming!$A$5:$I$185,4,FALSE))</f>
        <v>#N/A</v>
      </c>
      <c r="X42" s="83" t="e">
        <f>IF(ISBLANK(VLOOKUP(I42,[1]Upcoming!$A$5:$I$185,5,FALSE)),"",VLOOKUP(I42,[1]Upcoming!$A$5:$I$185,5,FALSE))</f>
        <v>#N/A</v>
      </c>
      <c r="Y42" s="84"/>
      <c r="Z42" s="82" t="str">
        <f>IF(ISBLANK(VLOOKUP(L42,[1]Upcoming!$A$5:$I$185,6,FALSE)),"",VLOOKUP(L42,[1]Upcoming!$A$5:$I$185,6,FALSE))</f>
        <v/>
      </c>
      <c r="AA42" s="83" t="str">
        <f>IF(ISBLANK(VLOOKUP(L42,[1]Upcoming!$A$5:$I$185,7,FALSE)),"",VLOOKUP(L42,[1]Upcoming!$A$5:$I$185,7,FALSE))</f>
        <v/>
      </c>
      <c r="AB42" s="84"/>
      <c r="AC42" s="82" t="str">
        <f>IF(ISBLANK(VLOOKUP(L42,[1]Upcoming!$A$5:$I$185,8,FALSE)),"",VLOOKUP(L42,[1]Upcoming!$A$5:$I$185,8,FALSE))</f>
        <v/>
      </c>
      <c r="AD42" s="83" t="str">
        <f>IF(ISBLANK(VLOOKUP(L42,[1]Upcoming!$A$5:$I$185,9,FALSE)),"",VLOOKUP(L42,[1]Upcoming!$A$5:$I$185,9,FALSE))</f>
        <v/>
      </c>
      <c r="AE42" s="20"/>
      <c r="AF42" s="20"/>
      <c r="AG42" s="20"/>
      <c r="AH42" s="2"/>
      <c r="AI42" s="2"/>
      <c r="AJ42" s="2"/>
      <c r="AK42" s="2"/>
    </row>
    <row r="43" spans="1:37" ht="25.5" customHeight="1" thickBot="1" x14ac:dyDescent="0.3">
      <c r="A43" s="1"/>
      <c r="B43" s="2"/>
      <c r="C43" s="2"/>
      <c r="D43" s="2"/>
      <c r="E43" s="2"/>
      <c r="F43" s="2"/>
      <c r="G43" s="2"/>
      <c r="H43" s="2"/>
      <c r="I43" s="2"/>
      <c r="J43" s="2"/>
      <c r="K43" s="74" t="e">
        <f t="shared" ca="1" si="0"/>
        <v>#REF!</v>
      </c>
      <c r="L43" s="97" t="s">
        <v>351</v>
      </c>
      <c r="M43" s="86"/>
      <c r="N43" s="106" t="e">
        <f t="shared" ca="1" si="1"/>
        <v>#REF!</v>
      </c>
      <c r="O43" s="87" t="e">
        <f t="shared" ca="1" si="2"/>
        <v>#REF!</v>
      </c>
      <c r="P43" s="88" t="e">
        <f t="shared" ca="1" si="3"/>
        <v>#REF!</v>
      </c>
      <c r="Q43" s="89" t="e">
        <f t="shared" ca="1" si="4"/>
        <v>#REF!</v>
      </c>
      <c r="R43" s="90" t="e">
        <f t="shared" ca="1" si="5"/>
        <v>#REF!</v>
      </c>
      <c r="S43" s="81"/>
      <c r="T43" s="82">
        <f>VLOOKUP(L43,[1]Upcoming!$A$5:$I$185,2,FALSE)</f>
        <v>0</v>
      </c>
      <c r="U43" s="83">
        <f>VLOOKUP(L43,[1]Upcoming!$A$5:$I$185,3,FALSE)</f>
        <v>1</v>
      </c>
      <c r="V43" s="84"/>
      <c r="W43" s="82" t="e">
        <f>IF(ISBLANK(VLOOKUP(I43,[1]Upcoming!$A$5:$I$185,4,FALSE)),"",VLOOKUP(I43,[1]Upcoming!$A$5:$I$185,4,FALSE))</f>
        <v>#N/A</v>
      </c>
      <c r="X43" s="83" t="e">
        <f>IF(ISBLANK(VLOOKUP(I43,[1]Upcoming!$A$5:$I$185,5,FALSE)),"",VLOOKUP(I43,[1]Upcoming!$A$5:$I$185,5,FALSE))</f>
        <v>#N/A</v>
      </c>
      <c r="Y43" s="84"/>
      <c r="Z43" s="82" t="str">
        <f>IF(ISBLANK(VLOOKUP(L43,[1]Upcoming!$A$5:$I$185,6,FALSE)),"",VLOOKUP(L43,[1]Upcoming!$A$5:$I$185,6,FALSE))</f>
        <v/>
      </c>
      <c r="AA43" s="83" t="str">
        <f>IF(ISBLANK(VLOOKUP(L43,[1]Upcoming!$A$5:$I$185,7,FALSE)),"",VLOOKUP(L43,[1]Upcoming!$A$5:$I$185,7,FALSE))</f>
        <v/>
      </c>
      <c r="AB43" s="84"/>
      <c r="AC43" s="82" t="str">
        <f>IF(ISBLANK(VLOOKUP(L43,[1]Upcoming!$A$5:$I$185,8,FALSE)),"",VLOOKUP(L43,[1]Upcoming!$A$5:$I$185,8,FALSE))</f>
        <v/>
      </c>
      <c r="AD43" s="83" t="str">
        <f>IF(ISBLANK(VLOOKUP(L43,[1]Upcoming!$A$5:$I$185,9,FALSE)),"",VLOOKUP(L43,[1]Upcoming!$A$5:$I$185,9,FALSE))</f>
        <v/>
      </c>
      <c r="AE43" s="20"/>
      <c r="AF43" s="20"/>
      <c r="AG43" s="20"/>
      <c r="AH43" s="2"/>
      <c r="AI43" s="2"/>
      <c r="AJ43" s="2"/>
      <c r="AK43" s="2"/>
    </row>
    <row r="44" spans="1:37" ht="25.5" customHeight="1" thickBot="1" x14ac:dyDescent="0.3">
      <c r="A44" s="1"/>
      <c r="B44" s="2"/>
      <c r="C44" s="2"/>
      <c r="D44" s="2"/>
      <c r="E44" s="2"/>
      <c r="F44" s="2"/>
      <c r="G44" s="2"/>
      <c r="H44" s="2"/>
      <c r="I44" s="2"/>
      <c r="J44" s="2"/>
      <c r="K44" s="74" t="e">
        <f t="shared" ca="1" si="0"/>
        <v>#REF!</v>
      </c>
      <c r="L44" s="97" t="s">
        <v>343</v>
      </c>
      <c r="M44" s="86"/>
      <c r="N44" s="106" t="e">
        <f t="shared" ca="1" si="1"/>
        <v>#REF!</v>
      </c>
      <c r="O44" s="87" t="e">
        <f t="shared" ca="1" si="2"/>
        <v>#REF!</v>
      </c>
      <c r="P44" s="88" t="e">
        <f t="shared" ca="1" si="3"/>
        <v>#REF!</v>
      </c>
      <c r="Q44" s="89" t="e">
        <f t="shared" ca="1" si="4"/>
        <v>#REF!</v>
      </c>
      <c r="R44" s="90" t="e">
        <f t="shared" ca="1" si="5"/>
        <v>#REF!</v>
      </c>
      <c r="S44" s="81"/>
      <c r="T44" s="82" t="str">
        <f>VLOOKUP(L44,[1]Upcoming!$A$5:$I$185,2,FALSE)</f>
        <v/>
      </c>
      <c r="U44" s="83" t="str">
        <f>VLOOKUP(L44,[1]Upcoming!$A$5:$I$185,3,FALSE)</f>
        <v/>
      </c>
      <c r="V44" s="84"/>
      <c r="W44" s="82" t="e">
        <f>IF(ISBLANK(VLOOKUP(I44,[1]Upcoming!$A$5:$I$185,4,FALSE)),"",VLOOKUP(I44,[1]Upcoming!$A$5:$I$185,4,FALSE))</f>
        <v>#N/A</v>
      </c>
      <c r="X44" s="83" t="e">
        <f>IF(ISBLANK(VLOOKUP(I44,[1]Upcoming!$A$5:$I$185,5,FALSE)),"",VLOOKUP(I44,[1]Upcoming!$A$5:$I$185,5,FALSE))</f>
        <v>#N/A</v>
      </c>
      <c r="Y44" s="84"/>
      <c r="Z44" s="82" t="str">
        <f>IF(ISBLANK(VLOOKUP(L44,[1]Upcoming!$A$5:$I$185,6,FALSE)),"",VLOOKUP(L44,[1]Upcoming!$A$5:$I$185,6,FALSE))</f>
        <v/>
      </c>
      <c r="AA44" s="83" t="str">
        <f>IF(ISBLANK(VLOOKUP(L44,[1]Upcoming!$A$5:$I$185,7,FALSE)),"",VLOOKUP(L44,[1]Upcoming!$A$5:$I$185,7,FALSE))</f>
        <v/>
      </c>
      <c r="AB44" s="84"/>
      <c r="AC44" s="82" t="str">
        <f>IF(ISBLANK(VLOOKUP(L44,[1]Upcoming!$A$5:$I$185,8,FALSE)),"",VLOOKUP(L44,[1]Upcoming!$A$5:$I$185,8,FALSE))</f>
        <v/>
      </c>
      <c r="AD44" s="83" t="str">
        <f>IF(ISBLANK(VLOOKUP(L44,[1]Upcoming!$A$5:$I$185,9,FALSE)),"",VLOOKUP(L44,[1]Upcoming!$A$5:$I$185,9,FALSE))</f>
        <v/>
      </c>
      <c r="AE44" s="20"/>
      <c r="AF44" s="20"/>
      <c r="AG44" s="20"/>
      <c r="AH44" s="2"/>
      <c r="AI44" s="2"/>
      <c r="AJ44" s="2"/>
      <c r="AK44" s="2"/>
    </row>
    <row r="45" spans="1:37" ht="25.5" customHeight="1" thickBot="1" x14ac:dyDescent="0.3">
      <c r="A45" s="1"/>
      <c r="B45" s="2"/>
      <c r="C45" s="2"/>
      <c r="D45" s="2"/>
      <c r="E45" s="2"/>
      <c r="F45" s="2"/>
      <c r="G45" s="2"/>
      <c r="H45" s="2"/>
      <c r="I45" s="2"/>
      <c r="J45" s="2"/>
      <c r="K45" s="74" t="e">
        <f t="shared" ca="1" si="0"/>
        <v>#REF!</v>
      </c>
      <c r="L45" s="97" t="s">
        <v>266</v>
      </c>
      <c r="M45" s="86"/>
      <c r="N45" s="106" t="e">
        <f t="shared" ca="1" si="1"/>
        <v>#REF!</v>
      </c>
      <c r="O45" s="87" t="e">
        <f t="shared" ca="1" si="2"/>
        <v>#REF!</v>
      </c>
      <c r="P45" s="88" t="e">
        <f t="shared" ca="1" si="3"/>
        <v>#REF!</v>
      </c>
      <c r="Q45" s="89" t="e">
        <f t="shared" ca="1" si="4"/>
        <v>#REF!</v>
      </c>
      <c r="R45" s="90" t="e">
        <f t="shared" ca="1" si="5"/>
        <v>#REF!</v>
      </c>
      <c r="S45" s="81"/>
      <c r="T45" s="82" t="str">
        <f>VLOOKUP(L45,[1]Upcoming!$A$5:$I$185,2,FALSE)</f>
        <v/>
      </c>
      <c r="U45" s="83" t="str">
        <f>VLOOKUP(L45,[1]Upcoming!$A$5:$I$185,3,FALSE)</f>
        <v/>
      </c>
      <c r="V45" s="84"/>
      <c r="W45" s="82" t="e">
        <f>IF(ISBLANK(VLOOKUP(I45,[1]Upcoming!$A$5:$I$185,4,FALSE)),"",VLOOKUP(I45,[1]Upcoming!$A$5:$I$185,4,FALSE))</f>
        <v>#N/A</v>
      </c>
      <c r="X45" s="83" t="e">
        <f>IF(ISBLANK(VLOOKUP(I45,[1]Upcoming!$A$5:$I$185,5,FALSE)),"",VLOOKUP(I45,[1]Upcoming!$A$5:$I$185,5,FALSE))</f>
        <v>#N/A</v>
      </c>
      <c r="Y45" s="84"/>
      <c r="Z45" s="82" t="str">
        <f>IF(ISBLANK(VLOOKUP(L45,[1]Upcoming!$A$5:$I$185,6,FALSE)),"",VLOOKUP(L45,[1]Upcoming!$A$5:$I$185,6,FALSE))</f>
        <v/>
      </c>
      <c r="AA45" s="83" t="str">
        <f>IF(ISBLANK(VLOOKUP(L45,[1]Upcoming!$A$5:$I$185,7,FALSE)),"",VLOOKUP(L45,[1]Upcoming!$A$5:$I$185,7,FALSE))</f>
        <v/>
      </c>
      <c r="AB45" s="84"/>
      <c r="AC45" s="82" t="str">
        <f>IF(ISBLANK(VLOOKUP(L45,[1]Upcoming!$A$5:$I$185,8,FALSE)),"",VLOOKUP(L45,[1]Upcoming!$A$5:$I$185,8,FALSE))</f>
        <v/>
      </c>
      <c r="AD45" s="83" t="str">
        <f>IF(ISBLANK(VLOOKUP(L45,[1]Upcoming!$A$5:$I$185,9,FALSE)),"",VLOOKUP(L45,[1]Upcoming!$A$5:$I$185,9,FALSE))</f>
        <v/>
      </c>
      <c r="AE45" s="20"/>
      <c r="AF45" s="20"/>
      <c r="AG45" s="20"/>
      <c r="AH45" s="2"/>
      <c r="AI45" s="2"/>
      <c r="AJ45" s="2"/>
      <c r="AK45" s="2"/>
    </row>
    <row r="46" spans="1:37" ht="25.5" customHeight="1" thickBot="1" x14ac:dyDescent="0.3">
      <c r="A46" s="1"/>
      <c r="B46" s="2"/>
      <c r="C46" s="2"/>
      <c r="D46" s="2"/>
      <c r="E46" s="2"/>
      <c r="F46" s="2"/>
      <c r="G46" s="2"/>
      <c r="H46" s="2"/>
      <c r="I46" s="2"/>
      <c r="J46" s="2"/>
      <c r="K46" s="74" t="e">
        <f t="shared" ca="1" si="0"/>
        <v>#REF!</v>
      </c>
      <c r="L46" s="97" t="s">
        <v>68</v>
      </c>
      <c r="M46" s="86"/>
      <c r="N46" s="106" t="e">
        <f t="shared" ca="1" si="1"/>
        <v>#REF!</v>
      </c>
      <c r="O46" s="87" t="e">
        <f t="shared" ca="1" si="2"/>
        <v>#REF!</v>
      </c>
      <c r="P46" s="88" t="e">
        <f t="shared" ca="1" si="3"/>
        <v>#REF!</v>
      </c>
      <c r="Q46" s="89" t="e">
        <f t="shared" ca="1" si="4"/>
        <v>#REF!</v>
      </c>
      <c r="R46" s="90" t="e">
        <f t="shared" ca="1" si="5"/>
        <v>#REF!</v>
      </c>
      <c r="S46" s="81"/>
      <c r="T46" s="82">
        <f>VLOOKUP(L46,[1]Upcoming!$A$5:$I$185,2,FALSE)</f>
        <v>1</v>
      </c>
      <c r="U46" s="83">
        <f>VLOOKUP(L46,[1]Upcoming!$A$5:$I$185,3,FALSE)</f>
        <v>2</v>
      </c>
      <c r="V46" s="84"/>
      <c r="W46" s="82" t="e">
        <f>IF(ISBLANK(VLOOKUP(I46,[1]Upcoming!$A$5:$I$185,4,FALSE)),"",VLOOKUP(I46,[1]Upcoming!$A$5:$I$185,4,FALSE))</f>
        <v>#N/A</v>
      </c>
      <c r="X46" s="83" t="e">
        <f>IF(ISBLANK(VLOOKUP(I46,[1]Upcoming!$A$5:$I$185,5,FALSE)),"",VLOOKUP(I46,[1]Upcoming!$A$5:$I$185,5,FALSE))</f>
        <v>#N/A</v>
      </c>
      <c r="Y46" s="84"/>
      <c r="Z46" s="82" t="str">
        <f>IF(ISBLANK(VLOOKUP(L46,[1]Upcoming!$A$5:$I$185,6,FALSE)),"",VLOOKUP(L46,[1]Upcoming!$A$5:$I$185,6,FALSE))</f>
        <v/>
      </c>
      <c r="AA46" s="83" t="str">
        <f>IF(ISBLANK(VLOOKUP(L46,[1]Upcoming!$A$5:$I$185,7,FALSE)),"",VLOOKUP(L46,[1]Upcoming!$A$5:$I$185,7,FALSE))</f>
        <v/>
      </c>
      <c r="AB46" s="84"/>
      <c r="AC46" s="82" t="str">
        <f>IF(ISBLANK(VLOOKUP(L46,[1]Upcoming!$A$5:$I$185,8,FALSE)),"",VLOOKUP(L46,[1]Upcoming!$A$5:$I$185,8,FALSE))</f>
        <v/>
      </c>
      <c r="AD46" s="83" t="str">
        <f>IF(ISBLANK(VLOOKUP(L46,[1]Upcoming!$A$5:$I$185,9,FALSE)),"",VLOOKUP(L46,[1]Upcoming!$A$5:$I$185,9,FALSE))</f>
        <v/>
      </c>
      <c r="AE46" s="20"/>
      <c r="AF46" s="20"/>
      <c r="AG46" s="20"/>
      <c r="AH46" s="2"/>
      <c r="AI46" s="2"/>
      <c r="AJ46" s="2"/>
      <c r="AK46" s="2"/>
    </row>
    <row r="47" spans="1:37" ht="25.5" customHeight="1" thickBot="1" x14ac:dyDescent="0.3">
      <c r="A47" s="1"/>
      <c r="B47" s="2"/>
      <c r="C47" s="2"/>
      <c r="D47" s="2"/>
      <c r="E47" s="2"/>
      <c r="F47" s="2"/>
      <c r="G47" s="2"/>
      <c r="H47" s="2"/>
      <c r="I47" s="2"/>
      <c r="J47" s="2"/>
      <c r="K47" s="74" t="e">
        <f t="shared" ca="1" si="0"/>
        <v>#REF!</v>
      </c>
      <c r="L47" s="97" t="s">
        <v>73</v>
      </c>
      <c r="M47" s="86"/>
      <c r="N47" s="106" t="e">
        <f t="shared" ca="1" si="1"/>
        <v>#REF!</v>
      </c>
      <c r="O47" s="87" t="e">
        <f t="shared" ca="1" si="2"/>
        <v>#REF!</v>
      </c>
      <c r="P47" s="88" t="e">
        <f t="shared" ca="1" si="3"/>
        <v>#REF!</v>
      </c>
      <c r="Q47" s="89" t="e">
        <f t="shared" ca="1" si="4"/>
        <v>#REF!</v>
      </c>
      <c r="R47" s="90" t="e">
        <f t="shared" ca="1" si="5"/>
        <v>#REF!</v>
      </c>
      <c r="S47" s="81"/>
      <c r="T47" s="82" t="str">
        <f>VLOOKUP(L47,[1]Upcoming!$A$5:$I$185,2,FALSE)</f>
        <v/>
      </c>
      <c r="U47" s="83" t="str">
        <f>VLOOKUP(L47,[1]Upcoming!$A$5:$I$185,3,FALSE)</f>
        <v/>
      </c>
      <c r="V47" s="84"/>
      <c r="W47" s="82" t="e">
        <f>IF(ISBLANK(VLOOKUP(I47,[1]Upcoming!$A$5:$I$185,4,FALSE)),"",VLOOKUP(I47,[1]Upcoming!$A$5:$I$185,4,FALSE))</f>
        <v>#N/A</v>
      </c>
      <c r="X47" s="83" t="e">
        <f>IF(ISBLANK(VLOOKUP(I47,[1]Upcoming!$A$5:$I$185,5,FALSE)),"",VLOOKUP(I47,[1]Upcoming!$A$5:$I$185,5,FALSE))</f>
        <v>#N/A</v>
      </c>
      <c r="Y47" s="84"/>
      <c r="Z47" s="82" t="str">
        <f>IF(ISBLANK(VLOOKUP(L47,[1]Upcoming!$A$5:$I$185,6,FALSE)),"",VLOOKUP(L47,[1]Upcoming!$A$5:$I$185,6,FALSE))</f>
        <v/>
      </c>
      <c r="AA47" s="83" t="str">
        <f>IF(ISBLANK(VLOOKUP(L47,[1]Upcoming!$A$5:$I$185,7,FALSE)),"",VLOOKUP(L47,[1]Upcoming!$A$5:$I$185,7,FALSE))</f>
        <v/>
      </c>
      <c r="AB47" s="84"/>
      <c r="AC47" s="82" t="str">
        <f>IF(ISBLANK(VLOOKUP(L47,[1]Upcoming!$A$5:$I$185,8,FALSE)),"",VLOOKUP(L47,[1]Upcoming!$A$5:$I$185,8,FALSE))</f>
        <v/>
      </c>
      <c r="AD47" s="83" t="str">
        <f>IF(ISBLANK(VLOOKUP(L47,[1]Upcoming!$A$5:$I$185,9,FALSE)),"",VLOOKUP(L47,[1]Upcoming!$A$5:$I$185,9,FALSE))</f>
        <v/>
      </c>
      <c r="AE47" s="20"/>
      <c r="AF47" s="20"/>
      <c r="AG47" s="20"/>
      <c r="AH47" s="2"/>
      <c r="AI47" s="2"/>
      <c r="AJ47" s="2"/>
      <c r="AK47" s="2"/>
    </row>
    <row r="48" spans="1:37" ht="25.5" customHeight="1" thickBot="1" x14ac:dyDescent="0.3">
      <c r="A48" s="1"/>
      <c r="B48" s="2"/>
      <c r="C48" s="2"/>
      <c r="D48" s="2"/>
      <c r="E48" s="2"/>
      <c r="F48" s="2"/>
      <c r="G48" s="2"/>
      <c r="H48" s="2"/>
      <c r="I48" s="2"/>
      <c r="J48" s="2"/>
      <c r="K48" s="74" t="e">
        <f t="shared" ca="1" si="0"/>
        <v>#REF!</v>
      </c>
      <c r="L48" s="97" t="s">
        <v>31</v>
      </c>
      <c r="M48" s="86"/>
      <c r="N48" s="106" t="e">
        <f t="shared" ca="1" si="1"/>
        <v>#REF!</v>
      </c>
      <c r="O48" s="87" t="e">
        <f t="shared" ca="1" si="2"/>
        <v>#REF!</v>
      </c>
      <c r="P48" s="88" t="e">
        <f t="shared" ca="1" si="3"/>
        <v>#REF!</v>
      </c>
      <c r="Q48" s="89" t="e">
        <f t="shared" ca="1" si="4"/>
        <v>#REF!</v>
      </c>
      <c r="R48" s="90" t="e">
        <f t="shared" ca="1" si="5"/>
        <v>#REF!</v>
      </c>
      <c r="S48" s="81"/>
      <c r="T48" s="82">
        <f>VLOOKUP(L48,[1]Upcoming!$A$5:$I$185,2,FALSE)</f>
        <v>2</v>
      </c>
      <c r="U48" s="83">
        <f>VLOOKUP(L48,[1]Upcoming!$A$5:$I$185,3,FALSE)</f>
        <v>3</v>
      </c>
      <c r="V48" s="84"/>
      <c r="W48" s="82" t="e">
        <f>IF(ISBLANK(VLOOKUP(I48,[1]Upcoming!$A$5:$I$185,4,FALSE)),"",VLOOKUP(I48,[1]Upcoming!$A$5:$I$185,4,FALSE))</f>
        <v>#N/A</v>
      </c>
      <c r="X48" s="83" t="e">
        <f>IF(ISBLANK(VLOOKUP(I48,[1]Upcoming!$A$5:$I$185,5,FALSE)),"",VLOOKUP(I48,[1]Upcoming!$A$5:$I$185,5,FALSE))</f>
        <v>#N/A</v>
      </c>
      <c r="Y48" s="84"/>
      <c r="Z48" s="82" t="str">
        <f>IF(ISBLANK(VLOOKUP(L48,[1]Upcoming!$A$5:$I$185,6,FALSE)),"",VLOOKUP(L48,[1]Upcoming!$A$5:$I$185,6,FALSE))</f>
        <v/>
      </c>
      <c r="AA48" s="83" t="str">
        <f>IF(ISBLANK(VLOOKUP(L48,[1]Upcoming!$A$5:$I$185,7,FALSE)),"",VLOOKUP(L48,[1]Upcoming!$A$5:$I$185,7,FALSE))</f>
        <v/>
      </c>
      <c r="AB48" s="84"/>
      <c r="AC48" s="82" t="str">
        <f>IF(ISBLANK(VLOOKUP(L48,[1]Upcoming!$A$5:$I$185,8,FALSE)),"",VLOOKUP(L48,[1]Upcoming!$A$5:$I$185,8,FALSE))</f>
        <v/>
      </c>
      <c r="AD48" s="83" t="str">
        <f>IF(ISBLANK(VLOOKUP(L48,[1]Upcoming!$A$5:$I$185,9,FALSE)),"",VLOOKUP(L48,[1]Upcoming!$A$5:$I$185,9,FALSE))</f>
        <v/>
      </c>
      <c r="AE48" s="20"/>
      <c r="AF48" s="20"/>
      <c r="AG48" s="20"/>
      <c r="AH48" s="2"/>
      <c r="AI48" s="2"/>
      <c r="AJ48" s="2"/>
      <c r="AK48" s="2"/>
    </row>
    <row r="49" spans="1:37" ht="25.5" customHeight="1" thickBot="1" x14ac:dyDescent="0.3">
      <c r="A49" s="1"/>
      <c r="B49" s="2"/>
      <c r="C49" s="2"/>
      <c r="D49" s="2"/>
      <c r="E49" s="2"/>
      <c r="F49" s="2"/>
      <c r="G49" s="2"/>
      <c r="H49" s="2"/>
      <c r="I49" s="2"/>
      <c r="J49" s="2"/>
      <c r="K49" s="74" t="e">
        <f t="shared" ca="1" si="0"/>
        <v>#REF!</v>
      </c>
      <c r="L49" s="97" t="s">
        <v>60</v>
      </c>
      <c r="M49" s="86"/>
      <c r="N49" s="106" t="e">
        <f t="shared" ca="1" si="1"/>
        <v>#REF!</v>
      </c>
      <c r="O49" s="87" t="e">
        <f t="shared" ca="1" si="2"/>
        <v>#REF!</v>
      </c>
      <c r="P49" s="88" t="e">
        <f t="shared" ca="1" si="3"/>
        <v>#REF!</v>
      </c>
      <c r="Q49" s="89" t="e">
        <f t="shared" ca="1" si="4"/>
        <v>#REF!</v>
      </c>
      <c r="R49" s="90" t="e">
        <f t="shared" ca="1" si="5"/>
        <v>#REF!</v>
      </c>
      <c r="S49" s="81"/>
      <c r="T49" s="82" t="str">
        <f>VLOOKUP(L49,[1]Upcoming!$A$5:$I$185,2,FALSE)</f>
        <v/>
      </c>
      <c r="U49" s="83" t="str">
        <f>VLOOKUP(L49,[1]Upcoming!$A$5:$I$185,3,FALSE)</f>
        <v/>
      </c>
      <c r="V49" s="84"/>
      <c r="W49" s="82" t="e">
        <f>IF(ISBLANK(VLOOKUP(I49,[1]Upcoming!$A$5:$I$185,4,FALSE)),"",VLOOKUP(I49,[1]Upcoming!$A$5:$I$185,4,FALSE))</f>
        <v>#N/A</v>
      </c>
      <c r="X49" s="83" t="e">
        <f>IF(ISBLANK(VLOOKUP(I49,[1]Upcoming!$A$5:$I$185,5,FALSE)),"",VLOOKUP(I49,[1]Upcoming!$A$5:$I$185,5,FALSE))</f>
        <v>#N/A</v>
      </c>
      <c r="Y49" s="84"/>
      <c r="Z49" s="82" t="str">
        <f>IF(ISBLANK(VLOOKUP(L49,[1]Upcoming!$A$5:$I$185,6,FALSE)),"",VLOOKUP(L49,[1]Upcoming!$A$5:$I$185,6,FALSE))</f>
        <v/>
      </c>
      <c r="AA49" s="83" t="str">
        <f>IF(ISBLANK(VLOOKUP(L49,[1]Upcoming!$A$5:$I$185,7,FALSE)),"",VLOOKUP(L49,[1]Upcoming!$A$5:$I$185,7,FALSE))</f>
        <v/>
      </c>
      <c r="AB49" s="84"/>
      <c r="AC49" s="82" t="str">
        <f>IF(ISBLANK(VLOOKUP(L49,[1]Upcoming!$A$5:$I$185,8,FALSE)),"",VLOOKUP(L49,[1]Upcoming!$A$5:$I$185,8,FALSE))</f>
        <v/>
      </c>
      <c r="AD49" s="83" t="str">
        <f>IF(ISBLANK(VLOOKUP(L49,[1]Upcoming!$A$5:$I$185,9,FALSE)),"",VLOOKUP(L49,[1]Upcoming!$A$5:$I$185,9,FALSE))</f>
        <v/>
      </c>
      <c r="AE49" s="20"/>
      <c r="AF49" s="20"/>
      <c r="AG49" s="20"/>
      <c r="AH49" s="2"/>
      <c r="AI49" s="2"/>
      <c r="AJ49" s="2"/>
      <c r="AK49" s="2"/>
    </row>
    <row r="50" spans="1:37" ht="25.5" customHeight="1" thickBot="1" x14ac:dyDescent="0.3">
      <c r="A50" s="1"/>
      <c r="B50" s="2"/>
      <c r="C50" s="2"/>
      <c r="D50" s="2"/>
      <c r="E50" s="2"/>
      <c r="F50" s="2"/>
      <c r="G50" s="2"/>
      <c r="H50" s="2"/>
      <c r="I50" s="2"/>
      <c r="J50" s="2"/>
      <c r="K50" s="74" t="e">
        <f t="shared" ca="1" si="0"/>
        <v>#REF!</v>
      </c>
      <c r="L50" s="97" t="s">
        <v>66</v>
      </c>
      <c r="M50" s="86"/>
      <c r="N50" s="106" t="e">
        <f t="shared" ca="1" si="1"/>
        <v>#REF!</v>
      </c>
      <c r="O50" s="87" t="e">
        <f t="shared" ca="1" si="2"/>
        <v>#REF!</v>
      </c>
      <c r="P50" s="88" t="e">
        <f t="shared" ca="1" si="3"/>
        <v>#REF!</v>
      </c>
      <c r="Q50" s="89" t="e">
        <f t="shared" ca="1" si="4"/>
        <v>#REF!</v>
      </c>
      <c r="R50" s="90" t="e">
        <f t="shared" ca="1" si="5"/>
        <v>#REF!</v>
      </c>
      <c r="S50" s="81"/>
      <c r="T50" s="82" t="str">
        <f>VLOOKUP(L50,[1]Upcoming!$A$5:$I$185,2,FALSE)</f>
        <v/>
      </c>
      <c r="U50" s="83" t="str">
        <f>VLOOKUP(L50,[1]Upcoming!$A$5:$I$185,3,FALSE)</f>
        <v/>
      </c>
      <c r="V50" s="84"/>
      <c r="W50" s="82" t="e">
        <f>IF(ISBLANK(VLOOKUP(I50,[1]Upcoming!$A$5:$I$185,4,FALSE)),"",VLOOKUP(I50,[1]Upcoming!$A$5:$I$185,4,FALSE))</f>
        <v>#N/A</v>
      </c>
      <c r="X50" s="83" t="e">
        <f>IF(ISBLANK(VLOOKUP(I50,[1]Upcoming!$A$5:$I$185,5,FALSE)),"",VLOOKUP(I50,[1]Upcoming!$A$5:$I$185,5,FALSE))</f>
        <v>#N/A</v>
      </c>
      <c r="Y50" s="84"/>
      <c r="Z50" s="82" t="str">
        <f>IF(ISBLANK(VLOOKUP(L50,[1]Upcoming!$A$5:$I$185,6,FALSE)),"",VLOOKUP(L50,[1]Upcoming!$A$5:$I$185,6,FALSE))</f>
        <v/>
      </c>
      <c r="AA50" s="83" t="str">
        <f>IF(ISBLANK(VLOOKUP(L50,[1]Upcoming!$A$5:$I$185,7,FALSE)),"",VLOOKUP(L50,[1]Upcoming!$A$5:$I$185,7,FALSE))</f>
        <v/>
      </c>
      <c r="AB50" s="84"/>
      <c r="AC50" s="82" t="str">
        <f>IF(ISBLANK(VLOOKUP(L50,[1]Upcoming!$A$5:$I$185,8,FALSE)),"",VLOOKUP(L50,[1]Upcoming!$A$5:$I$185,8,FALSE))</f>
        <v/>
      </c>
      <c r="AD50" s="83" t="str">
        <f>IF(ISBLANK(VLOOKUP(L50,[1]Upcoming!$A$5:$I$185,9,FALSE)),"",VLOOKUP(L50,[1]Upcoming!$A$5:$I$185,9,FALSE))</f>
        <v/>
      </c>
      <c r="AE50" s="20"/>
      <c r="AF50" s="20"/>
      <c r="AG50" s="20"/>
      <c r="AH50" s="2"/>
      <c r="AI50" s="2"/>
      <c r="AJ50" s="2"/>
      <c r="AK50" s="2"/>
    </row>
    <row r="51" spans="1:37" ht="25.5" customHeight="1" thickBot="1" x14ac:dyDescent="0.3">
      <c r="A51" s="1"/>
      <c r="B51" s="2"/>
      <c r="C51" s="2"/>
      <c r="D51" s="2"/>
      <c r="E51" s="2"/>
      <c r="F51" s="2"/>
      <c r="G51" s="2"/>
      <c r="H51" s="2"/>
      <c r="I51" s="2"/>
      <c r="J51" s="2"/>
      <c r="K51" s="74" t="e">
        <f t="shared" ca="1" si="0"/>
        <v>#REF!</v>
      </c>
      <c r="L51" s="97" t="s">
        <v>267</v>
      </c>
      <c r="M51" s="86"/>
      <c r="N51" s="106" t="e">
        <f t="shared" ca="1" si="1"/>
        <v>#REF!</v>
      </c>
      <c r="O51" s="87" t="e">
        <f t="shared" ca="1" si="2"/>
        <v>#REF!</v>
      </c>
      <c r="P51" s="88" t="e">
        <f t="shared" ca="1" si="3"/>
        <v>#REF!</v>
      </c>
      <c r="Q51" s="89" t="e">
        <f t="shared" ca="1" si="4"/>
        <v>#REF!</v>
      </c>
      <c r="R51" s="90" t="e">
        <f t="shared" ca="1" si="5"/>
        <v>#REF!</v>
      </c>
      <c r="S51" s="81"/>
      <c r="T51" s="82" t="str">
        <f>VLOOKUP(L51,[1]Upcoming!$A$5:$I$185,2,FALSE)</f>
        <v/>
      </c>
      <c r="U51" s="83" t="str">
        <f>VLOOKUP(L51,[1]Upcoming!$A$5:$I$185,3,FALSE)</f>
        <v/>
      </c>
      <c r="V51" s="84"/>
      <c r="W51" s="82" t="e">
        <f>IF(ISBLANK(VLOOKUP(I51,[1]Upcoming!$A$5:$I$185,4,FALSE)),"",VLOOKUP(I51,[1]Upcoming!$A$5:$I$185,4,FALSE))</f>
        <v>#N/A</v>
      </c>
      <c r="X51" s="83" t="e">
        <f>IF(ISBLANK(VLOOKUP(I51,[1]Upcoming!$A$5:$I$185,5,FALSE)),"",VLOOKUP(I51,[1]Upcoming!$A$5:$I$185,5,FALSE))</f>
        <v>#N/A</v>
      </c>
      <c r="Y51" s="84"/>
      <c r="Z51" s="82" t="str">
        <f>IF(ISBLANK(VLOOKUP(L51,[1]Upcoming!$A$5:$I$185,6,FALSE)),"",VLOOKUP(L51,[1]Upcoming!$A$5:$I$185,6,FALSE))</f>
        <v/>
      </c>
      <c r="AA51" s="83" t="str">
        <f>IF(ISBLANK(VLOOKUP(L51,[1]Upcoming!$A$5:$I$185,7,FALSE)),"",VLOOKUP(L51,[1]Upcoming!$A$5:$I$185,7,FALSE))</f>
        <v/>
      </c>
      <c r="AB51" s="84"/>
      <c r="AC51" s="82" t="str">
        <f>IF(ISBLANK(VLOOKUP(L51,[1]Upcoming!$A$5:$I$185,8,FALSE)),"",VLOOKUP(L51,[1]Upcoming!$A$5:$I$185,8,FALSE))</f>
        <v/>
      </c>
      <c r="AD51" s="83" t="str">
        <f>IF(ISBLANK(VLOOKUP(L51,[1]Upcoming!$A$5:$I$185,9,FALSE)),"",VLOOKUP(L51,[1]Upcoming!$A$5:$I$185,9,FALSE))</f>
        <v/>
      </c>
      <c r="AE51" s="20"/>
      <c r="AF51" s="20"/>
      <c r="AG51" s="20"/>
      <c r="AH51" s="2"/>
      <c r="AI51" s="2"/>
      <c r="AJ51" s="2"/>
      <c r="AK51" s="2"/>
    </row>
    <row r="52" spans="1:37" ht="25.5" customHeight="1" thickBot="1" x14ac:dyDescent="0.3">
      <c r="A52" s="1"/>
      <c r="B52" s="2"/>
      <c r="C52" s="2"/>
      <c r="D52" s="2"/>
      <c r="E52" s="2"/>
      <c r="F52" s="2"/>
      <c r="G52" s="2"/>
      <c r="H52" s="2"/>
      <c r="I52" s="2"/>
      <c r="J52" s="2"/>
      <c r="K52" s="74" t="e">
        <f t="shared" ref="K52:K83" ca="1" si="6">RANK(N52,$N$20:$N$200,0)</f>
        <v>#REF!</v>
      </c>
      <c r="L52" s="97" t="s">
        <v>284</v>
      </c>
      <c r="M52" s="86"/>
      <c r="N52" s="106" t="e">
        <f t="shared" ref="N52:N83" ca="1" si="7">O52+P52</f>
        <v>#REF!</v>
      </c>
      <c r="O52" s="87" t="e">
        <f t="shared" ref="O52:O83" ca="1" si="8">INDIRECT("'[summary.xls]"&amp;L52&amp;"'!$F$99")</f>
        <v>#REF!</v>
      </c>
      <c r="P52" s="88" t="e">
        <f t="shared" ref="P52:P83" ca="1" si="9">INDIRECT("'[summary.xls]"&amp;L52&amp;"'!$F$172")</f>
        <v>#REF!</v>
      </c>
      <c r="Q52" s="89" t="e">
        <f t="shared" ref="Q52:Q83" ca="1" si="10">INDIRECT("'[summary.xls]"&amp;L52&amp;"'!$L$1")</f>
        <v>#REF!</v>
      </c>
      <c r="R52" s="90" t="e">
        <f t="shared" ref="R52:R83" ca="1" si="11">INDIRECT("'[summary.xls]"&amp;L52&amp;"'!$F$218")</f>
        <v>#REF!</v>
      </c>
      <c r="S52" s="81"/>
      <c r="T52" s="82" t="str">
        <f>VLOOKUP(L52,[1]Upcoming!$A$5:$I$185,2,FALSE)</f>
        <v/>
      </c>
      <c r="U52" s="83" t="str">
        <f>VLOOKUP(L52,[1]Upcoming!$A$5:$I$185,3,FALSE)</f>
        <v/>
      </c>
      <c r="V52" s="84"/>
      <c r="W52" s="82" t="e">
        <f>IF(ISBLANK(VLOOKUP(I52,[1]Upcoming!$A$5:$I$185,4,FALSE)),"",VLOOKUP(I52,[1]Upcoming!$A$5:$I$185,4,FALSE))</f>
        <v>#N/A</v>
      </c>
      <c r="X52" s="83" t="e">
        <f>IF(ISBLANK(VLOOKUP(I52,[1]Upcoming!$A$5:$I$185,5,FALSE)),"",VLOOKUP(I52,[1]Upcoming!$A$5:$I$185,5,FALSE))</f>
        <v>#N/A</v>
      </c>
      <c r="Y52" s="84"/>
      <c r="Z52" s="82" t="str">
        <f>IF(ISBLANK(VLOOKUP(L52,[1]Upcoming!$A$5:$I$185,6,FALSE)),"",VLOOKUP(L52,[1]Upcoming!$A$5:$I$185,6,FALSE))</f>
        <v/>
      </c>
      <c r="AA52" s="83" t="str">
        <f>IF(ISBLANK(VLOOKUP(L52,[1]Upcoming!$A$5:$I$185,7,FALSE)),"",VLOOKUP(L52,[1]Upcoming!$A$5:$I$185,7,FALSE))</f>
        <v/>
      </c>
      <c r="AB52" s="84"/>
      <c r="AC52" s="82" t="str">
        <f>IF(ISBLANK(VLOOKUP(L52,[1]Upcoming!$A$5:$I$185,8,FALSE)),"",VLOOKUP(L52,[1]Upcoming!$A$5:$I$185,8,FALSE))</f>
        <v/>
      </c>
      <c r="AD52" s="83" t="str">
        <f>IF(ISBLANK(VLOOKUP(L52,[1]Upcoming!$A$5:$I$185,9,FALSE)),"",VLOOKUP(L52,[1]Upcoming!$A$5:$I$185,9,FALSE))</f>
        <v/>
      </c>
      <c r="AE52" s="20"/>
      <c r="AF52" s="20"/>
      <c r="AG52" s="20"/>
      <c r="AH52" s="2"/>
      <c r="AI52" s="2"/>
      <c r="AJ52" s="2"/>
      <c r="AK52" s="2"/>
    </row>
    <row r="53" spans="1:37" ht="25.5" customHeight="1" thickBot="1" x14ac:dyDescent="0.3">
      <c r="A53" s="1"/>
      <c r="B53" s="2"/>
      <c r="C53" s="2"/>
      <c r="D53" s="2"/>
      <c r="E53" s="2"/>
      <c r="F53" s="2"/>
      <c r="G53" s="15"/>
      <c r="H53" s="2"/>
      <c r="I53" s="2"/>
      <c r="J53" s="2"/>
      <c r="K53" s="74" t="e">
        <f t="shared" ca="1" si="6"/>
        <v>#REF!</v>
      </c>
      <c r="L53" s="97" t="s">
        <v>338</v>
      </c>
      <c r="M53" s="86"/>
      <c r="N53" s="106" t="e">
        <f t="shared" ca="1" si="7"/>
        <v>#REF!</v>
      </c>
      <c r="O53" s="87" t="e">
        <f t="shared" ca="1" si="8"/>
        <v>#REF!</v>
      </c>
      <c r="P53" s="88" t="e">
        <f t="shared" ca="1" si="9"/>
        <v>#REF!</v>
      </c>
      <c r="Q53" s="89" t="e">
        <f t="shared" ca="1" si="10"/>
        <v>#REF!</v>
      </c>
      <c r="R53" s="90" t="e">
        <f t="shared" ca="1" si="11"/>
        <v>#REF!</v>
      </c>
      <c r="S53" s="81"/>
      <c r="T53" s="82" t="str">
        <f>VLOOKUP(L53,[1]Upcoming!$A$5:$I$185,2,FALSE)</f>
        <v/>
      </c>
      <c r="U53" s="83" t="str">
        <f>VLOOKUP(L53,[1]Upcoming!$A$5:$I$185,3,FALSE)</f>
        <v/>
      </c>
      <c r="V53" s="84"/>
      <c r="W53" s="82" t="e">
        <f>IF(ISBLANK(VLOOKUP(I53,[1]Upcoming!$A$5:$I$185,4,FALSE)),"",VLOOKUP(I53,[1]Upcoming!$A$5:$I$185,4,FALSE))</f>
        <v>#N/A</v>
      </c>
      <c r="X53" s="83" t="e">
        <f>IF(ISBLANK(VLOOKUP(I53,[1]Upcoming!$A$5:$I$185,5,FALSE)),"",VLOOKUP(I53,[1]Upcoming!$A$5:$I$185,5,FALSE))</f>
        <v>#N/A</v>
      </c>
      <c r="Y53" s="84"/>
      <c r="Z53" s="82" t="str">
        <f>IF(ISBLANK(VLOOKUP(L53,[1]Upcoming!$A$5:$I$185,6,FALSE)),"",VLOOKUP(L53,[1]Upcoming!$A$5:$I$185,6,FALSE))</f>
        <v/>
      </c>
      <c r="AA53" s="83" t="str">
        <f>IF(ISBLANK(VLOOKUP(L53,[1]Upcoming!$A$5:$I$185,7,FALSE)),"",VLOOKUP(L53,[1]Upcoming!$A$5:$I$185,7,FALSE))</f>
        <v/>
      </c>
      <c r="AB53" s="84"/>
      <c r="AC53" s="82" t="str">
        <f>IF(ISBLANK(VLOOKUP(L53,[1]Upcoming!$A$5:$I$185,8,FALSE)),"",VLOOKUP(L53,[1]Upcoming!$A$5:$I$185,8,FALSE))</f>
        <v/>
      </c>
      <c r="AD53" s="83" t="str">
        <f>IF(ISBLANK(VLOOKUP(L53,[1]Upcoming!$A$5:$I$185,9,FALSE)),"",VLOOKUP(L53,[1]Upcoming!$A$5:$I$185,9,FALSE))</f>
        <v/>
      </c>
      <c r="AE53" s="20"/>
      <c r="AF53" s="20"/>
      <c r="AG53" s="20"/>
      <c r="AH53" s="2"/>
      <c r="AI53" s="2"/>
      <c r="AJ53" s="2"/>
      <c r="AK53" s="2"/>
    </row>
    <row r="54" spans="1:37" ht="25.5" customHeight="1" thickBot="1" x14ac:dyDescent="0.3">
      <c r="A54" s="1"/>
      <c r="B54" s="2"/>
      <c r="C54" s="2"/>
      <c r="D54" s="2"/>
      <c r="E54" s="2"/>
      <c r="F54" s="2"/>
      <c r="G54" s="2"/>
      <c r="H54" s="2"/>
      <c r="I54" s="2"/>
      <c r="J54" s="2"/>
      <c r="K54" s="74" t="e">
        <f t="shared" ca="1" si="6"/>
        <v>#REF!</v>
      </c>
      <c r="L54" s="97" t="s">
        <v>324</v>
      </c>
      <c r="M54" s="86"/>
      <c r="N54" s="106" t="e">
        <f t="shared" ca="1" si="7"/>
        <v>#REF!</v>
      </c>
      <c r="O54" s="87" t="e">
        <f t="shared" ca="1" si="8"/>
        <v>#REF!</v>
      </c>
      <c r="P54" s="88" t="e">
        <f t="shared" ca="1" si="9"/>
        <v>#REF!</v>
      </c>
      <c r="Q54" s="89" t="e">
        <f t="shared" ca="1" si="10"/>
        <v>#REF!</v>
      </c>
      <c r="R54" s="111" t="e">
        <f t="shared" ca="1" si="11"/>
        <v>#REF!</v>
      </c>
      <c r="S54" s="81"/>
      <c r="T54" s="82" t="str">
        <f>VLOOKUP(L54,[1]Upcoming!$A$5:$I$185,2,FALSE)</f>
        <v/>
      </c>
      <c r="U54" s="83" t="str">
        <f>VLOOKUP(L54,[1]Upcoming!$A$5:$I$185,3,FALSE)</f>
        <v/>
      </c>
      <c r="V54" s="84"/>
      <c r="W54" s="82" t="e">
        <f>IF(ISBLANK(VLOOKUP(I54,[1]Upcoming!$A$5:$I$185,4,FALSE)),"",VLOOKUP(I54,[1]Upcoming!$A$5:$I$185,4,FALSE))</f>
        <v>#N/A</v>
      </c>
      <c r="X54" s="83" t="e">
        <f>IF(ISBLANK(VLOOKUP(I54,[1]Upcoming!$A$5:$I$185,5,FALSE)),"",VLOOKUP(I54,[1]Upcoming!$A$5:$I$185,5,FALSE))</f>
        <v>#N/A</v>
      </c>
      <c r="Y54" s="84"/>
      <c r="Z54" s="82" t="str">
        <f>IF(ISBLANK(VLOOKUP(L54,[1]Upcoming!$A$5:$I$185,6,FALSE)),"",VLOOKUP(L54,[1]Upcoming!$A$5:$I$185,6,FALSE))</f>
        <v/>
      </c>
      <c r="AA54" s="83" t="str">
        <f>IF(ISBLANK(VLOOKUP(L54,[1]Upcoming!$A$5:$I$185,7,FALSE)),"",VLOOKUP(L54,[1]Upcoming!$A$5:$I$185,7,FALSE))</f>
        <v/>
      </c>
      <c r="AB54" s="84"/>
      <c r="AC54" s="82" t="str">
        <f>IF(ISBLANK(VLOOKUP(L54,[1]Upcoming!$A$5:$I$185,8,FALSE)),"",VLOOKUP(L54,[1]Upcoming!$A$5:$I$185,8,FALSE))</f>
        <v/>
      </c>
      <c r="AD54" s="83" t="str">
        <f>IF(ISBLANK(VLOOKUP(L54,[1]Upcoming!$A$5:$I$185,9,FALSE)),"",VLOOKUP(L54,[1]Upcoming!$A$5:$I$185,9,FALSE))</f>
        <v/>
      </c>
      <c r="AE54" s="20"/>
      <c r="AF54" s="20"/>
      <c r="AG54" s="20"/>
      <c r="AH54" s="2"/>
      <c r="AI54" s="2"/>
      <c r="AJ54" s="2"/>
      <c r="AK54" s="2"/>
    </row>
    <row r="55" spans="1:37" ht="25.5" customHeight="1" thickBot="1" x14ac:dyDescent="0.3">
      <c r="A55" s="1"/>
      <c r="B55" s="2"/>
      <c r="C55" s="2"/>
      <c r="D55" s="2"/>
      <c r="E55" s="2"/>
      <c r="F55" s="2"/>
      <c r="G55" s="2"/>
      <c r="H55" s="2"/>
      <c r="I55" s="2"/>
      <c r="J55" s="2"/>
      <c r="K55" s="74" t="e">
        <f t="shared" ca="1" si="6"/>
        <v>#REF!</v>
      </c>
      <c r="L55" s="97" t="s">
        <v>334</v>
      </c>
      <c r="M55" s="86"/>
      <c r="N55" s="106" t="e">
        <f t="shared" ca="1" si="7"/>
        <v>#REF!</v>
      </c>
      <c r="O55" s="87" t="e">
        <f t="shared" ca="1" si="8"/>
        <v>#REF!</v>
      </c>
      <c r="P55" s="88" t="e">
        <f t="shared" ca="1" si="9"/>
        <v>#REF!</v>
      </c>
      <c r="Q55" s="89" t="e">
        <f t="shared" ca="1" si="10"/>
        <v>#REF!</v>
      </c>
      <c r="R55" s="90" t="e">
        <f t="shared" ca="1" si="11"/>
        <v>#REF!</v>
      </c>
      <c r="S55" s="81"/>
      <c r="T55" s="82">
        <f>VLOOKUP(L55,[1]Upcoming!$A$5:$I$185,2,FALSE)</f>
        <v>2</v>
      </c>
      <c r="U55" s="83">
        <f>VLOOKUP(L55,[1]Upcoming!$A$5:$I$185,3,FALSE)</f>
        <v>4</v>
      </c>
      <c r="V55" s="84"/>
      <c r="W55" s="82" t="e">
        <f>IF(ISBLANK(VLOOKUP(I55,[1]Upcoming!$A$5:$I$185,4,FALSE)),"",VLOOKUP(I55,[1]Upcoming!$A$5:$I$185,4,FALSE))</f>
        <v>#N/A</v>
      </c>
      <c r="X55" s="83" t="e">
        <f>IF(ISBLANK(VLOOKUP(I55,[1]Upcoming!$A$5:$I$185,5,FALSE)),"",VLOOKUP(I55,[1]Upcoming!$A$5:$I$185,5,FALSE))</f>
        <v>#N/A</v>
      </c>
      <c r="Y55" s="84"/>
      <c r="Z55" s="82" t="str">
        <f>IF(ISBLANK(VLOOKUP(L55,[1]Upcoming!$A$5:$I$185,6,FALSE)),"",VLOOKUP(L55,[1]Upcoming!$A$5:$I$185,6,FALSE))</f>
        <v/>
      </c>
      <c r="AA55" s="83" t="str">
        <f>IF(ISBLANK(VLOOKUP(L55,[1]Upcoming!$A$5:$I$185,7,FALSE)),"",VLOOKUP(L55,[1]Upcoming!$A$5:$I$185,7,FALSE))</f>
        <v/>
      </c>
      <c r="AB55" s="84"/>
      <c r="AC55" s="82" t="str">
        <f>IF(ISBLANK(VLOOKUP(L55,[1]Upcoming!$A$5:$I$185,8,FALSE)),"",VLOOKUP(L55,[1]Upcoming!$A$5:$I$185,8,FALSE))</f>
        <v/>
      </c>
      <c r="AD55" s="83" t="str">
        <f>IF(ISBLANK(VLOOKUP(L55,[1]Upcoming!$A$5:$I$185,9,FALSE)),"",VLOOKUP(L55,[1]Upcoming!$A$5:$I$185,9,FALSE))</f>
        <v/>
      </c>
      <c r="AE55" s="20"/>
      <c r="AF55" s="20"/>
      <c r="AG55" s="20"/>
      <c r="AH55" s="2"/>
      <c r="AI55" s="2"/>
      <c r="AJ55" s="2"/>
      <c r="AK55" s="2"/>
    </row>
    <row r="56" spans="1:37" ht="25.5" customHeight="1" thickBot="1" x14ac:dyDescent="0.3">
      <c r="A56" s="1"/>
      <c r="B56" s="2"/>
      <c r="C56" s="2"/>
      <c r="D56" s="2"/>
      <c r="E56" s="2"/>
      <c r="F56" s="2"/>
      <c r="G56" s="2"/>
      <c r="H56" s="2"/>
      <c r="I56" s="2"/>
      <c r="J56" s="2"/>
      <c r="K56" s="74" t="e">
        <f t="shared" ca="1" si="6"/>
        <v>#REF!</v>
      </c>
      <c r="L56" s="97" t="s">
        <v>63</v>
      </c>
      <c r="M56" s="86"/>
      <c r="N56" s="106" t="e">
        <f t="shared" ca="1" si="7"/>
        <v>#REF!</v>
      </c>
      <c r="O56" s="87" t="e">
        <f t="shared" ca="1" si="8"/>
        <v>#REF!</v>
      </c>
      <c r="P56" s="88" t="e">
        <f t="shared" ca="1" si="9"/>
        <v>#REF!</v>
      </c>
      <c r="Q56" s="89" t="e">
        <f t="shared" ca="1" si="10"/>
        <v>#REF!</v>
      </c>
      <c r="R56" s="90" t="e">
        <f t="shared" ca="1" si="11"/>
        <v>#REF!</v>
      </c>
      <c r="S56" s="81"/>
      <c r="T56" s="82">
        <f>VLOOKUP(L56,[1]Upcoming!$A$5:$I$185,2,FALSE)</f>
        <v>0</v>
      </c>
      <c r="U56" s="83">
        <f>VLOOKUP(L56,[1]Upcoming!$A$5:$I$185,3,FALSE)</f>
        <v>1</v>
      </c>
      <c r="V56" s="84"/>
      <c r="W56" s="82" t="e">
        <f>IF(ISBLANK(VLOOKUP(I56,[1]Upcoming!$A$5:$I$185,4,FALSE)),"",VLOOKUP(I56,[1]Upcoming!$A$5:$I$185,4,FALSE))</f>
        <v>#N/A</v>
      </c>
      <c r="X56" s="83" t="e">
        <f>IF(ISBLANK(VLOOKUP(I56,[1]Upcoming!$A$5:$I$185,5,FALSE)),"",VLOOKUP(I56,[1]Upcoming!$A$5:$I$185,5,FALSE))</f>
        <v>#N/A</v>
      </c>
      <c r="Y56" s="84"/>
      <c r="Z56" s="82" t="str">
        <f>IF(ISBLANK(VLOOKUP(L56,[1]Upcoming!$A$5:$I$185,6,FALSE)),"",VLOOKUP(L56,[1]Upcoming!$A$5:$I$185,6,FALSE))</f>
        <v/>
      </c>
      <c r="AA56" s="83" t="str">
        <f>IF(ISBLANK(VLOOKUP(L56,[1]Upcoming!$A$5:$I$185,7,FALSE)),"",VLOOKUP(L56,[1]Upcoming!$A$5:$I$185,7,FALSE))</f>
        <v/>
      </c>
      <c r="AB56" s="84"/>
      <c r="AC56" s="82" t="str">
        <f>IF(ISBLANK(VLOOKUP(L56,[1]Upcoming!$A$5:$I$185,8,FALSE)),"",VLOOKUP(L56,[1]Upcoming!$A$5:$I$185,8,FALSE))</f>
        <v/>
      </c>
      <c r="AD56" s="83" t="str">
        <f>IF(ISBLANK(VLOOKUP(L56,[1]Upcoming!$A$5:$I$185,9,FALSE)),"",VLOOKUP(L56,[1]Upcoming!$A$5:$I$185,9,FALSE))</f>
        <v/>
      </c>
      <c r="AE56" s="20"/>
      <c r="AF56" s="20"/>
      <c r="AG56" s="20"/>
      <c r="AH56" s="2"/>
      <c r="AI56" s="2"/>
      <c r="AJ56" s="2"/>
      <c r="AK56" s="2"/>
    </row>
    <row r="57" spans="1:37" ht="25.5" customHeight="1" thickBot="1" x14ac:dyDescent="0.3">
      <c r="A57" s="1"/>
      <c r="B57" s="2"/>
      <c r="C57" s="2"/>
      <c r="D57" s="2"/>
      <c r="E57" s="2"/>
      <c r="F57" s="2"/>
      <c r="G57" s="2"/>
      <c r="H57" s="2"/>
      <c r="I57" s="2"/>
      <c r="J57" s="2"/>
      <c r="K57" s="74" t="e">
        <f t="shared" ca="1" si="6"/>
        <v>#REF!</v>
      </c>
      <c r="L57" s="97" t="s">
        <v>336</v>
      </c>
      <c r="M57" s="86"/>
      <c r="N57" s="106" t="e">
        <f t="shared" ca="1" si="7"/>
        <v>#REF!</v>
      </c>
      <c r="O57" s="87" t="e">
        <f t="shared" ca="1" si="8"/>
        <v>#REF!</v>
      </c>
      <c r="P57" s="88" t="e">
        <f t="shared" ca="1" si="9"/>
        <v>#REF!</v>
      </c>
      <c r="Q57" s="89" t="e">
        <f t="shared" ca="1" si="10"/>
        <v>#REF!</v>
      </c>
      <c r="R57" s="111" t="e">
        <f t="shared" ca="1" si="11"/>
        <v>#REF!</v>
      </c>
      <c r="S57" s="81"/>
      <c r="T57" s="82">
        <f>VLOOKUP(L57,[1]Upcoming!$A$5:$I$185,2,FALSE)</f>
        <v>2</v>
      </c>
      <c r="U57" s="83">
        <f>VLOOKUP(L57,[1]Upcoming!$A$5:$I$185,3,FALSE)</f>
        <v>3</v>
      </c>
      <c r="V57" s="84"/>
      <c r="W57" s="82" t="e">
        <f>IF(ISBLANK(VLOOKUP(I57,[1]Upcoming!$A$5:$I$185,4,FALSE)),"",VLOOKUP(I57,[1]Upcoming!$A$5:$I$185,4,FALSE))</f>
        <v>#N/A</v>
      </c>
      <c r="X57" s="83" t="e">
        <f>IF(ISBLANK(VLOOKUP(I57,[1]Upcoming!$A$5:$I$185,5,FALSE)),"",VLOOKUP(I57,[1]Upcoming!$A$5:$I$185,5,FALSE))</f>
        <v>#N/A</v>
      </c>
      <c r="Y57" s="84"/>
      <c r="Z57" s="82" t="str">
        <f>IF(ISBLANK(VLOOKUP(L57,[1]Upcoming!$A$5:$I$185,6,FALSE)),"",VLOOKUP(L57,[1]Upcoming!$A$5:$I$185,6,FALSE))</f>
        <v/>
      </c>
      <c r="AA57" s="83" t="str">
        <f>IF(ISBLANK(VLOOKUP(L57,[1]Upcoming!$A$5:$I$185,7,FALSE)),"",VLOOKUP(L57,[1]Upcoming!$A$5:$I$185,7,FALSE))</f>
        <v/>
      </c>
      <c r="AB57" s="84"/>
      <c r="AC57" s="82" t="str">
        <f>IF(ISBLANK(VLOOKUP(L57,[1]Upcoming!$A$5:$I$185,8,FALSE)),"",VLOOKUP(L57,[1]Upcoming!$A$5:$I$185,8,FALSE))</f>
        <v/>
      </c>
      <c r="AD57" s="83" t="str">
        <f>IF(ISBLANK(VLOOKUP(L57,[1]Upcoming!$A$5:$I$185,9,FALSE)),"",VLOOKUP(L57,[1]Upcoming!$A$5:$I$185,9,FALSE))</f>
        <v/>
      </c>
      <c r="AE57" s="20"/>
      <c r="AF57" s="20"/>
      <c r="AG57" s="20"/>
      <c r="AH57" s="2"/>
      <c r="AI57" s="2"/>
      <c r="AJ57" s="2"/>
      <c r="AK57" s="2"/>
    </row>
    <row r="58" spans="1:37" ht="25.5" customHeight="1" thickBot="1" x14ac:dyDescent="0.3">
      <c r="A58" s="1"/>
      <c r="B58" s="2"/>
      <c r="C58" s="2"/>
      <c r="D58" s="2"/>
      <c r="E58" s="2"/>
      <c r="F58" s="2"/>
      <c r="G58" s="2"/>
      <c r="H58" s="2"/>
      <c r="I58" s="2"/>
      <c r="J58" s="2"/>
      <c r="K58" s="74" t="e">
        <f t="shared" ca="1" si="6"/>
        <v>#REF!</v>
      </c>
      <c r="L58" s="97" t="s">
        <v>261</v>
      </c>
      <c r="M58" s="86"/>
      <c r="N58" s="106" t="e">
        <f t="shared" ca="1" si="7"/>
        <v>#REF!</v>
      </c>
      <c r="O58" s="87" t="e">
        <f t="shared" ca="1" si="8"/>
        <v>#REF!</v>
      </c>
      <c r="P58" s="88" t="e">
        <f t="shared" ca="1" si="9"/>
        <v>#REF!</v>
      </c>
      <c r="Q58" s="89" t="e">
        <f t="shared" ca="1" si="10"/>
        <v>#REF!</v>
      </c>
      <c r="R58" s="90" t="e">
        <f t="shared" ca="1" si="11"/>
        <v>#REF!</v>
      </c>
      <c r="S58" s="81"/>
      <c r="T58" s="82" t="str">
        <f>VLOOKUP(L58,[1]Upcoming!$A$5:$I$185,2,FALSE)</f>
        <v/>
      </c>
      <c r="U58" s="83" t="str">
        <f>VLOOKUP(L58,[1]Upcoming!$A$5:$I$185,3,FALSE)</f>
        <v/>
      </c>
      <c r="V58" s="84"/>
      <c r="W58" s="82" t="e">
        <f>IF(ISBLANK(VLOOKUP(I58,[1]Upcoming!$A$5:$I$185,4,FALSE)),"",VLOOKUP(I58,[1]Upcoming!$A$5:$I$185,4,FALSE))</f>
        <v>#N/A</v>
      </c>
      <c r="X58" s="83" t="e">
        <f>IF(ISBLANK(VLOOKUP(I58,[1]Upcoming!$A$5:$I$185,5,FALSE)),"",VLOOKUP(I58,[1]Upcoming!$A$5:$I$185,5,FALSE))</f>
        <v>#N/A</v>
      </c>
      <c r="Y58" s="84"/>
      <c r="Z58" s="82" t="str">
        <f>IF(ISBLANK(VLOOKUP(L58,[1]Upcoming!$A$5:$I$185,6,FALSE)),"",VLOOKUP(L58,[1]Upcoming!$A$5:$I$185,6,FALSE))</f>
        <v/>
      </c>
      <c r="AA58" s="83" t="str">
        <f>IF(ISBLANK(VLOOKUP(L58,[1]Upcoming!$A$5:$I$185,7,FALSE)),"",VLOOKUP(L58,[1]Upcoming!$A$5:$I$185,7,FALSE))</f>
        <v/>
      </c>
      <c r="AB58" s="84"/>
      <c r="AC58" s="82" t="str">
        <f>IF(ISBLANK(VLOOKUP(L58,[1]Upcoming!$A$5:$I$185,8,FALSE)),"",VLOOKUP(L58,[1]Upcoming!$A$5:$I$185,8,FALSE))</f>
        <v/>
      </c>
      <c r="AD58" s="83" t="str">
        <f>IF(ISBLANK(VLOOKUP(L58,[1]Upcoming!$A$5:$I$185,9,FALSE)),"",VLOOKUP(L58,[1]Upcoming!$A$5:$I$185,9,FALSE))</f>
        <v/>
      </c>
      <c r="AE58" s="20"/>
      <c r="AF58" s="20"/>
      <c r="AG58" s="20"/>
      <c r="AH58" s="2"/>
      <c r="AI58" s="2"/>
      <c r="AJ58" s="2"/>
      <c r="AK58" s="2"/>
    </row>
    <row r="59" spans="1:37" ht="25.5" customHeight="1" thickBot="1" x14ac:dyDescent="0.3">
      <c r="A59" s="1"/>
      <c r="B59" s="2"/>
      <c r="C59" s="2"/>
      <c r="D59" s="2"/>
      <c r="E59" s="2"/>
      <c r="F59" s="2"/>
      <c r="G59" s="2"/>
      <c r="H59" s="2"/>
      <c r="I59" s="2"/>
      <c r="J59" s="2"/>
      <c r="K59" s="74" t="e">
        <f t="shared" ca="1" si="6"/>
        <v>#REF!</v>
      </c>
      <c r="L59" s="97" t="s">
        <v>335</v>
      </c>
      <c r="M59" s="86"/>
      <c r="N59" s="106" t="e">
        <f t="shared" ca="1" si="7"/>
        <v>#REF!</v>
      </c>
      <c r="O59" s="87" t="e">
        <f t="shared" ca="1" si="8"/>
        <v>#REF!</v>
      </c>
      <c r="P59" s="88" t="e">
        <f t="shared" ca="1" si="9"/>
        <v>#REF!</v>
      </c>
      <c r="Q59" s="89" t="e">
        <f t="shared" ca="1" si="10"/>
        <v>#REF!</v>
      </c>
      <c r="R59" s="111" t="e">
        <f t="shared" ca="1" si="11"/>
        <v>#REF!</v>
      </c>
      <c r="S59" s="81"/>
      <c r="T59" s="82" t="str">
        <f>VLOOKUP(L59,[1]Upcoming!$A$5:$I$185,2,FALSE)</f>
        <v/>
      </c>
      <c r="U59" s="83" t="str">
        <f>VLOOKUP(L59,[1]Upcoming!$A$5:$I$185,3,FALSE)</f>
        <v/>
      </c>
      <c r="V59" s="84"/>
      <c r="W59" s="82" t="e">
        <f>IF(ISBLANK(VLOOKUP(I59,[1]Upcoming!$A$5:$I$185,4,FALSE)),"",VLOOKUP(I59,[1]Upcoming!$A$5:$I$185,4,FALSE))</f>
        <v>#N/A</v>
      </c>
      <c r="X59" s="83" t="e">
        <f>IF(ISBLANK(VLOOKUP(I59,[1]Upcoming!$A$5:$I$185,5,FALSE)),"",VLOOKUP(I59,[1]Upcoming!$A$5:$I$185,5,FALSE))</f>
        <v>#N/A</v>
      </c>
      <c r="Y59" s="84"/>
      <c r="Z59" s="82" t="str">
        <f>IF(ISBLANK(VLOOKUP(L59,[1]Upcoming!$A$5:$I$185,6,FALSE)),"",VLOOKUP(L59,[1]Upcoming!$A$5:$I$185,6,FALSE))</f>
        <v/>
      </c>
      <c r="AA59" s="83" t="str">
        <f>IF(ISBLANK(VLOOKUP(L59,[1]Upcoming!$A$5:$I$185,7,FALSE)),"",VLOOKUP(L59,[1]Upcoming!$A$5:$I$185,7,FALSE))</f>
        <v/>
      </c>
      <c r="AB59" s="84"/>
      <c r="AC59" s="82" t="str">
        <f>IF(ISBLANK(VLOOKUP(L59,[1]Upcoming!$A$5:$I$185,8,FALSE)),"",VLOOKUP(L59,[1]Upcoming!$A$5:$I$185,8,FALSE))</f>
        <v/>
      </c>
      <c r="AD59" s="83" t="str">
        <f>IF(ISBLANK(VLOOKUP(L59,[1]Upcoming!$A$5:$I$185,9,FALSE)),"",VLOOKUP(L59,[1]Upcoming!$A$5:$I$185,9,FALSE))</f>
        <v/>
      </c>
      <c r="AE59" s="20"/>
      <c r="AF59" s="20"/>
      <c r="AG59" s="20"/>
      <c r="AH59" s="2"/>
      <c r="AI59" s="2"/>
      <c r="AJ59" s="2"/>
      <c r="AK59" s="2"/>
    </row>
    <row r="60" spans="1:37" ht="25.5" customHeight="1" thickBot="1" x14ac:dyDescent="0.3">
      <c r="A60" s="1"/>
      <c r="B60" s="2"/>
      <c r="C60" s="2"/>
      <c r="D60" s="2"/>
      <c r="E60" s="2"/>
      <c r="F60" s="2"/>
      <c r="G60" s="2"/>
      <c r="H60" s="2"/>
      <c r="I60" s="2"/>
      <c r="J60" s="2"/>
      <c r="K60" s="74" t="e">
        <f t="shared" ca="1" si="6"/>
        <v>#REF!</v>
      </c>
      <c r="L60" s="97" t="s">
        <v>15</v>
      </c>
      <c r="M60" s="86"/>
      <c r="N60" s="106" t="e">
        <f t="shared" ca="1" si="7"/>
        <v>#REF!</v>
      </c>
      <c r="O60" s="87" t="e">
        <f t="shared" ca="1" si="8"/>
        <v>#REF!</v>
      </c>
      <c r="P60" s="88" t="e">
        <f t="shared" ca="1" si="9"/>
        <v>#REF!</v>
      </c>
      <c r="Q60" s="89" t="e">
        <f t="shared" ca="1" si="10"/>
        <v>#REF!</v>
      </c>
      <c r="R60" s="90" t="e">
        <f t="shared" ca="1" si="11"/>
        <v>#REF!</v>
      </c>
      <c r="S60" s="81"/>
      <c r="T60" s="82" t="str">
        <f>VLOOKUP(L60,[1]Upcoming!$A$5:$I$185,2,FALSE)</f>
        <v/>
      </c>
      <c r="U60" s="83" t="str">
        <f>VLOOKUP(L60,[1]Upcoming!$A$5:$I$185,3,FALSE)</f>
        <v/>
      </c>
      <c r="V60" s="84"/>
      <c r="W60" s="82" t="e">
        <f>IF(ISBLANK(VLOOKUP(I60,[1]Upcoming!$A$5:$I$185,4,FALSE)),"",VLOOKUP(I60,[1]Upcoming!$A$5:$I$185,4,FALSE))</f>
        <v>#N/A</v>
      </c>
      <c r="X60" s="83" t="e">
        <f>IF(ISBLANK(VLOOKUP(I60,[1]Upcoming!$A$5:$I$185,5,FALSE)),"",VLOOKUP(I60,[1]Upcoming!$A$5:$I$185,5,FALSE))</f>
        <v>#N/A</v>
      </c>
      <c r="Y60" s="84"/>
      <c r="Z60" s="82" t="str">
        <f>IF(ISBLANK(VLOOKUP(L60,[1]Upcoming!$A$5:$I$185,6,FALSE)),"",VLOOKUP(L60,[1]Upcoming!$A$5:$I$185,6,FALSE))</f>
        <v/>
      </c>
      <c r="AA60" s="83" t="str">
        <f>IF(ISBLANK(VLOOKUP(L60,[1]Upcoming!$A$5:$I$185,7,FALSE)),"",VLOOKUP(L60,[1]Upcoming!$A$5:$I$185,7,FALSE))</f>
        <v/>
      </c>
      <c r="AB60" s="84"/>
      <c r="AC60" s="82" t="str">
        <f>IF(ISBLANK(VLOOKUP(L60,[1]Upcoming!$A$5:$I$185,8,FALSE)),"",VLOOKUP(L60,[1]Upcoming!$A$5:$I$185,8,FALSE))</f>
        <v/>
      </c>
      <c r="AD60" s="83" t="str">
        <f>IF(ISBLANK(VLOOKUP(L60,[1]Upcoming!$A$5:$I$185,9,FALSE)),"",VLOOKUP(L60,[1]Upcoming!$A$5:$I$185,9,FALSE))</f>
        <v/>
      </c>
      <c r="AE60" s="20"/>
      <c r="AF60" s="20"/>
      <c r="AG60" s="20"/>
      <c r="AH60" s="2"/>
      <c r="AI60" s="2"/>
      <c r="AJ60" s="2"/>
      <c r="AK60" s="2"/>
    </row>
    <row r="61" spans="1:37" ht="25.5" customHeight="1" thickBot="1" x14ac:dyDescent="0.3">
      <c r="A61" s="1"/>
      <c r="B61" s="2"/>
      <c r="C61" s="2"/>
      <c r="D61" s="2"/>
      <c r="E61" s="2"/>
      <c r="F61" s="2"/>
      <c r="G61" s="2"/>
      <c r="H61" s="2"/>
      <c r="I61" s="2"/>
      <c r="J61" s="2"/>
      <c r="K61" s="74" t="e">
        <f t="shared" ca="1" si="6"/>
        <v>#REF!</v>
      </c>
      <c r="L61" s="97" t="s">
        <v>308</v>
      </c>
      <c r="M61" s="86"/>
      <c r="N61" s="106" t="e">
        <f t="shared" ca="1" si="7"/>
        <v>#REF!</v>
      </c>
      <c r="O61" s="87" t="e">
        <f t="shared" ca="1" si="8"/>
        <v>#REF!</v>
      </c>
      <c r="P61" s="88" t="e">
        <f t="shared" ca="1" si="9"/>
        <v>#REF!</v>
      </c>
      <c r="Q61" s="89" t="e">
        <f t="shared" ca="1" si="10"/>
        <v>#REF!</v>
      </c>
      <c r="R61" s="111" t="e">
        <f t="shared" ca="1" si="11"/>
        <v>#REF!</v>
      </c>
      <c r="S61" s="81"/>
      <c r="T61" s="82" t="str">
        <f>VLOOKUP(L61,[1]Upcoming!$A$5:$I$185,2,FALSE)</f>
        <v/>
      </c>
      <c r="U61" s="83" t="str">
        <f>VLOOKUP(L61,[1]Upcoming!$A$5:$I$185,3,FALSE)</f>
        <v/>
      </c>
      <c r="V61" s="84"/>
      <c r="W61" s="82" t="e">
        <f>IF(ISBLANK(VLOOKUP(I61,[1]Upcoming!$A$5:$I$185,4,FALSE)),"",VLOOKUP(I61,[1]Upcoming!$A$5:$I$185,4,FALSE))</f>
        <v>#N/A</v>
      </c>
      <c r="X61" s="83" t="e">
        <f>IF(ISBLANK(VLOOKUP(I61,[1]Upcoming!$A$5:$I$185,5,FALSE)),"",VLOOKUP(I61,[1]Upcoming!$A$5:$I$185,5,FALSE))</f>
        <v>#N/A</v>
      </c>
      <c r="Y61" s="84"/>
      <c r="Z61" s="82" t="str">
        <f>IF(ISBLANK(VLOOKUP(L61,[1]Upcoming!$A$5:$I$185,6,FALSE)),"",VLOOKUP(L61,[1]Upcoming!$A$5:$I$185,6,FALSE))</f>
        <v/>
      </c>
      <c r="AA61" s="83" t="str">
        <f>IF(ISBLANK(VLOOKUP(L61,[1]Upcoming!$A$5:$I$185,7,FALSE)),"",VLOOKUP(L61,[1]Upcoming!$A$5:$I$185,7,FALSE))</f>
        <v/>
      </c>
      <c r="AB61" s="84"/>
      <c r="AC61" s="82" t="str">
        <f>IF(ISBLANK(VLOOKUP(L61,[1]Upcoming!$A$5:$I$185,8,FALSE)),"",VLOOKUP(L61,[1]Upcoming!$A$5:$I$185,8,FALSE))</f>
        <v/>
      </c>
      <c r="AD61" s="83" t="str">
        <f>IF(ISBLANK(VLOOKUP(L61,[1]Upcoming!$A$5:$I$185,9,FALSE)),"",VLOOKUP(L61,[1]Upcoming!$A$5:$I$185,9,FALSE))</f>
        <v/>
      </c>
      <c r="AE61" s="20"/>
      <c r="AF61" s="20"/>
      <c r="AG61" s="20"/>
      <c r="AH61" s="2"/>
      <c r="AI61" s="2"/>
      <c r="AJ61" s="2"/>
      <c r="AK61" s="2"/>
    </row>
    <row r="62" spans="1:37" ht="25.5" customHeight="1" thickBot="1" x14ac:dyDescent="0.3">
      <c r="A62" s="1"/>
      <c r="B62" s="2"/>
      <c r="C62" s="2"/>
      <c r="D62" s="2"/>
      <c r="E62" s="2"/>
      <c r="F62" s="2"/>
      <c r="G62" s="2"/>
      <c r="H62" s="2"/>
      <c r="I62" s="2"/>
      <c r="J62" s="2"/>
      <c r="K62" s="74" t="e">
        <f t="shared" ca="1" si="6"/>
        <v>#REF!</v>
      </c>
      <c r="L62" s="97" t="s">
        <v>359</v>
      </c>
      <c r="M62" s="86"/>
      <c r="N62" s="106" t="e">
        <f t="shared" ca="1" si="7"/>
        <v>#REF!</v>
      </c>
      <c r="O62" s="87" t="e">
        <f t="shared" ca="1" si="8"/>
        <v>#REF!</v>
      </c>
      <c r="P62" s="88" t="e">
        <f t="shared" ca="1" si="9"/>
        <v>#REF!</v>
      </c>
      <c r="Q62" s="89" t="e">
        <f t="shared" ca="1" si="10"/>
        <v>#REF!</v>
      </c>
      <c r="R62" s="90" t="e">
        <f t="shared" ca="1" si="11"/>
        <v>#REF!</v>
      </c>
      <c r="S62" s="81"/>
      <c r="T62" s="82" t="str">
        <f>VLOOKUP(L62,[1]Upcoming!$A$5:$I$185,2,FALSE)</f>
        <v/>
      </c>
      <c r="U62" s="83" t="str">
        <f>VLOOKUP(L62,[1]Upcoming!$A$5:$I$185,3,FALSE)</f>
        <v/>
      </c>
      <c r="V62" s="84"/>
      <c r="W62" s="82" t="e">
        <f>IF(ISBLANK(VLOOKUP(I62,[1]Upcoming!$A$5:$I$185,4,FALSE)),"",VLOOKUP(I62,[1]Upcoming!$A$5:$I$185,4,FALSE))</f>
        <v>#N/A</v>
      </c>
      <c r="X62" s="83" t="e">
        <f>IF(ISBLANK(VLOOKUP(I62,[1]Upcoming!$A$5:$I$185,5,FALSE)),"",VLOOKUP(I62,[1]Upcoming!$A$5:$I$185,5,FALSE))</f>
        <v>#N/A</v>
      </c>
      <c r="Y62" s="84"/>
      <c r="Z62" s="82" t="str">
        <f>IF(ISBLANK(VLOOKUP(L62,[1]Upcoming!$A$5:$I$185,6,FALSE)),"",VLOOKUP(L62,[1]Upcoming!$A$5:$I$185,6,FALSE))</f>
        <v/>
      </c>
      <c r="AA62" s="83" t="str">
        <f>IF(ISBLANK(VLOOKUP(L62,[1]Upcoming!$A$5:$I$185,7,FALSE)),"",VLOOKUP(L62,[1]Upcoming!$A$5:$I$185,7,FALSE))</f>
        <v/>
      </c>
      <c r="AB62" s="84"/>
      <c r="AC62" s="82" t="str">
        <f>IF(ISBLANK(VLOOKUP(L62,[1]Upcoming!$A$5:$I$185,8,FALSE)),"",VLOOKUP(L62,[1]Upcoming!$A$5:$I$185,8,FALSE))</f>
        <v/>
      </c>
      <c r="AD62" s="83" t="str">
        <f>IF(ISBLANK(VLOOKUP(L62,[1]Upcoming!$A$5:$I$185,9,FALSE)),"",VLOOKUP(L62,[1]Upcoming!$A$5:$I$185,9,FALSE))</f>
        <v/>
      </c>
      <c r="AE62" s="20"/>
      <c r="AF62" s="20"/>
      <c r="AG62" s="20"/>
      <c r="AH62" s="2"/>
      <c r="AI62" s="2"/>
      <c r="AJ62" s="2"/>
      <c r="AK62" s="2"/>
    </row>
    <row r="63" spans="1:37" ht="25.5" customHeight="1" thickBot="1" x14ac:dyDescent="0.3">
      <c r="A63" s="1"/>
      <c r="B63" s="2"/>
      <c r="C63" s="2"/>
      <c r="D63" s="2"/>
      <c r="E63" s="2"/>
      <c r="F63" s="2"/>
      <c r="G63" s="2"/>
      <c r="H63" s="2"/>
      <c r="I63" s="2"/>
      <c r="J63" s="2"/>
      <c r="K63" s="74" t="e">
        <f t="shared" ca="1" si="6"/>
        <v>#REF!</v>
      </c>
      <c r="L63" s="97" t="s">
        <v>347</v>
      </c>
      <c r="M63" s="86"/>
      <c r="N63" s="106" t="e">
        <f t="shared" ca="1" si="7"/>
        <v>#REF!</v>
      </c>
      <c r="O63" s="87" t="e">
        <f t="shared" ca="1" si="8"/>
        <v>#REF!</v>
      </c>
      <c r="P63" s="88" t="e">
        <f t="shared" ca="1" si="9"/>
        <v>#REF!</v>
      </c>
      <c r="Q63" s="89" t="e">
        <f t="shared" ca="1" si="10"/>
        <v>#REF!</v>
      </c>
      <c r="R63" s="90" t="e">
        <f t="shared" ca="1" si="11"/>
        <v>#REF!</v>
      </c>
      <c r="S63" s="81"/>
      <c r="T63" s="82" t="str">
        <f>VLOOKUP(L63,[1]Upcoming!$A$5:$I$185,2,FALSE)</f>
        <v/>
      </c>
      <c r="U63" s="83" t="str">
        <f>VLOOKUP(L63,[1]Upcoming!$A$5:$I$185,3,FALSE)</f>
        <v/>
      </c>
      <c r="V63" s="84"/>
      <c r="W63" s="82" t="e">
        <f>IF(ISBLANK(VLOOKUP(I63,[1]Upcoming!$A$5:$I$185,4,FALSE)),"",VLOOKUP(I63,[1]Upcoming!$A$5:$I$185,4,FALSE))</f>
        <v>#N/A</v>
      </c>
      <c r="X63" s="83" t="e">
        <f>IF(ISBLANK(VLOOKUP(I63,[1]Upcoming!$A$5:$I$185,5,FALSE)),"",VLOOKUP(I63,[1]Upcoming!$A$5:$I$185,5,FALSE))</f>
        <v>#N/A</v>
      </c>
      <c r="Y63" s="84"/>
      <c r="Z63" s="82" t="str">
        <f>IF(ISBLANK(VLOOKUP(L63,[1]Upcoming!$A$5:$I$185,6,FALSE)),"",VLOOKUP(L63,[1]Upcoming!$A$5:$I$185,6,FALSE))</f>
        <v/>
      </c>
      <c r="AA63" s="83" t="str">
        <f>IF(ISBLANK(VLOOKUP(L63,[1]Upcoming!$A$5:$I$185,7,FALSE)),"",VLOOKUP(L63,[1]Upcoming!$A$5:$I$185,7,FALSE))</f>
        <v/>
      </c>
      <c r="AB63" s="84"/>
      <c r="AC63" s="82" t="str">
        <f>IF(ISBLANK(VLOOKUP(L63,[1]Upcoming!$A$5:$I$185,8,FALSE)),"",VLOOKUP(L63,[1]Upcoming!$A$5:$I$185,8,FALSE))</f>
        <v/>
      </c>
      <c r="AD63" s="83" t="str">
        <f>IF(ISBLANK(VLOOKUP(L63,[1]Upcoming!$A$5:$I$185,9,FALSE)),"",VLOOKUP(L63,[1]Upcoming!$A$5:$I$185,9,FALSE))</f>
        <v/>
      </c>
      <c r="AE63" s="20"/>
      <c r="AF63" s="20"/>
      <c r="AG63" s="20"/>
      <c r="AH63" s="2"/>
      <c r="AI63" s="2"/>
      <c r="AJ63" s="2"/>
      <c r="AK63" s="2"/>
    </row>
    <row r="64" spans="1:37" ht="25.5" customHeight="1" thickBot="1" x14ac:dyDescent="0.3">
      <c r="A64" s="1"/>
      <c r="B64" s="2"/>
      <c r="C64" s="2"/>
      <c r="D64" s="2"/>
      <c r="E64" s="2"/>
      <c r="F64" s="2"/>
      <c r="G64" s="2"/>
      <c r="H64" s="2"/>
      <c r="I64" s="2"/>
      <c r="J64" s="2"/>
      <c r="K64" s="74" t="e">
        <f t="shared" ca="1" si="6"/>
        <v>#REF!</v>
      </c>
      <c r="L64" s="97" t="s">
        <v>36</v>
      </c>
      <c r="M64" s="86"/>
      <c r="N64" s="106" t="e">
        <f t="shared" ca="1" si="7"/>
        <v>#REF!</v>
      </c>
      <c r="O64" s="87" t="e">
        <f t="shared" ca="1" si="8"/>
        <v>#REF!</v>
      </c>
      <c r="P64" s="88" t="e">
        <f t="shared" ca="1" si="9"/>
        <v>#REF!</v>
      </c>
      <c r="Q64" s="89" t="e">
        <f t="shared" ca="1" si="10"/>
        <v>#REF!</v>
      </c>
      <c r="R64" s="111" t="e">
        <f t="shared" ca="1" si="11"/>
        <v>#REF!</v>
      </c>
      <c r="S64" s="81"/>
      <c r="T64" s="82">
        <f>VLOOKUP(L64,[1]Upcoming!$A$5:$I$185,2,FALSE)</f>
        <v>1</v>
      </c>
      <c r="U64" s="83">
        <f>VLOOKUP(L64,[1]Upcoming!$A$5:$I$185,3,FALSE)</f>
        <v>2</v>
      </c>
      <c r="V64" s="84"/>
      <c r="W64" s="82" t="e">
        <f>IF(ISBLANK(VLOOKUP(I64,[1]Upcoming!$A$5:$I$185,4,FALSE)),"",VLOOKUP(I64,[1]Upcoming!$A$5:$I$185,4,FALSE))</f>
        <v>#N/A</v>
      </c>
      <c r="X64" s="83" t="e">
        <f>IF(ISBLANK(VLOOKUP(I64,[1]Upcoming!$A$5:$I$185,5,FALSE)),"",VLOOKUP(I64,[1]Upcoming!$A$5:$I$185,5,FALSE))</f>
        <v>#N/A</v>
      </c>
      <c r="Y64" s="84"/>
      <c r="Z64" s="82" t="str">
        <f>IF(ISBLANK(VLOOKUP(L64,[1]Upcoming!$A$5:$I$185,6,FALSE)),"",VLOOKUP(L64,[1]Upcoming!$A$5:$I$185,6,FALSE))</f>
        <v/>
      </c>
      <c r="AA64" s="83" t="str">
        <f>IF(ISBLANK(VLOOKUP(L64,[1]Upcoming!$A$5:$I$185,7,FALSE)),"",VLOOKUP(L64,[1]Upcoming!$A$5:$I$185,7,FALSE))</f>
        <v/>
      </c>
      <c r="AB64" s="84"/>
      <c r="AC64" s="82" t="str">
        <f>IF(ISBLANK(VLOOKUP(L64,[1]Upcoming!$A$5:$I$185,8,FALSE)),"",VLOOKUP(L64,[1]Upcoming!$A$5:$I$185,8,FALSE))</f>
        <v/>
      </c>
      <c r="AD64" s="83" t="str">
        <f>IF(ISBLANK(VLOOKUP(L64,[1]Upcoming!$A$5:$I$185,9,FALSE)),"",VLOOKUP(L64,[1]Upcoming!$A$5:$I$185,9,FALSE))</f>
        <v/>
      </c>
      <c r="AE64" s="20"/>
      <c r="AF64" s="20"/>
      <c r="AG64" s="20"/>
      <c r="AH64" s="2"/>
      <c r="AI64" s="2"/>
      <c r="AJ64" s="2"/>
      <c r="AK64" s="2"/>
    </row>
    <row r="65" spans="1:37" ht="25.5" customHeight="1" thickBot="1" x14ac:dyDescent="0.3">
      <c r="A65" s="1"/>
      <c r="B65" s="2"/>
      <c r="C65" s="2"/>
      <c r="D65" s="2"/>
      <c r="E65" s="2"/>
      <c r="F65" s="2"/>
      <c r="G65" s="2"/>
      <c r="H65" s="2"/>
      <c r="I65" s="2"/>
      <c r="J65" s="2"/>
      <c r="K65" s="74" t="e">
        <f t="shared" ca="1" si="6"/>
        <v>#REF!</v>
      </c>
      <c r="L65" s="97" t="s">
        <v>278</v>
      </c>
      <c r="M65" s="86"/>
      <c r="N65" s="106" t="e">
        <f t="shared" ca="1" si="7"/>
        <v>#REF!</v>
      </c>
      <c r="O65" s="87" t="e">
        <f t="shared" ca="1" si="8"/>
        <v>#REF!</v>
      </c>
      <c r="P65" s="88" t="e">
        <f t="shared" ca="1" si="9"/>
        <v>#REF!</v>
      </c>
      <c r="Q65" s="89" t="e">
        <f t="shared" ca="1" si="10"/>
        <v>#REF!</v>
      </c>
      <c r="R65" s="90" t="e">
        <f t="shared" ca="1" si="11"/>
        <v>#REF!</v>
      </c>
      <c r="S65" s="81"/>
      <c r="T65" s="82" t="str">
        <f>VLOOKUP(L65,[1]Upcoming!$A$5:$I$185,2,FALSE)</f>
        <v/>
      </c>
      <c r="U65" s="83" t="str">
        <f>VLOOKUP(L65,[1]Upcoming!$A$5:$I$185,3,FALSE)</f>
        <v/>
      </c>
      <c r="V65" s="84"/>
      <c r="W65" s="82" t="e">
        <f>IF(ISBLANK(VLOOKUP(I65,[1]Upcoming!$A$5:$I$185,4,FALSE)),"",VLOOKUP(I65,[1]Upcoming!$A$5:$I$185,4,FALSE))</f>
        <v>#N/A</v>
      </c>
      <c r="X65" s="83" t="e">
        <f>IF(ISBLANK(VLOOKUP(I65,[1]Upcoming!$A$5:$I$185,5,FALSE)),"",VLOOKUP(I65,[1]Upcoming!$A$5:$I$185,5,FALSE))</f>
        <v>#N/A</v>
      </c>
      <c r="Y65" s="84"/>
      <c r="Z65" s="82" t="str">
        <f>IF(ISBLANK(VLOOKUP(L65,[1]Upcoming!$A$5:$I$185,6,FALSE)),"",VLOOKUP(L65,[1]Upcoming!$A$5:$I$185,6,FALSE))</f>
        <v/>
      </c>
      <c r="AA65" s="83" t="str">
        <f>IF(ISBLANK(VLOOKUP(L65,[1]Upcoming!$A$5:$I$185,7,FALSE)),"",VLOOKUP(L65,[1]Upcoming!$A$5:$I$185,7,FALSE))</f>
        <v/>
      </c>
      <c r="AB65" s="84"/>
      <c r="AC65" s="82" t="str">
        <f>IF(ISBLANK(VLOOKUP(L65,[1]Upcoming!$A$5:$I$185,8,FALSE)),"",VLOOKUP(L65,[1]Upcoming!$A$5:$I$185,8,FALSE))</f>
        <v/>
      </c>
      <c r="AD65" s="83" t="str">
        <f>IF(ISBLANK(VLOOKUP(L65,[1]Upcoming!$A$5:$I$185,9,FALSE)),"",VLOOKUP(L65,[1]Upcoming!$A$5:$I$185,9,FALSE))</f>
        <v/>
      </c>
      <c r="AE65" s="20"/>
      <c r="AF65" s="20"/>
      <c r="AG65" s="20"/>
      <c r="AH65" s="2"/>
      <c r="AI65" s="2"/>
      <c r="AJ65" s="2"/>
      <c r="AK65" s="2"/>
    </row>
    <row r="66" spans="1:37" ht="25.5" customHeight="1" thickBot="1" x14ac:dyDescent="0.3">
      <c r="A66" s="1"/>
      <c r="B66" s="2"/>
      <c r="C66" s="2"/>
      <c r="D66" s="2"/>
      <c r="E66" s="2"/>
      <c r="F66" s="2"/>
      <c r="G66" s="2"/>
      <c r="H66" s="2"/>
      <c r="I66" s="2"/>
      <c r="J66" s="2"/>
      <c r="K66" s="74" t="e">
        <f t="shared" ca="1" si="6"/>
        <v>#REF!</v>
      </c>
      <c r="L66" s="97" t="s">
        <v>11</v>
      </c>
      <c r="M66" s="86"/>
      <c r="N66" s="106" t="e">
        <f t="shared" ca="1" si="7"/>
        <v>#REF!</v>
      </c>
      <c r="O66" s="87" t="e">
        <f t="shared" ca="1" si="8"/>
        <v>#REF!</v>
      </c>
      <c r="P66" s="88" t="e">
        <f t="shared" ca="1" si="9"/>
        <v>#REF!</v>
      </c>
      <c r="Q66" s="89" t="e">
        <f t="shared" ca="1" si="10"/>
        <v>#REF!</v>
      </c>
      <c r="R66" s="90" t="e">
        <f t="shared" ca="1" si="11"/>
        <v>#REF!</v>
      </c>
      <c r="S66" s="81"/>
      <c r="T66" s="82" t="str">
        <f>VLOOKUP(L66,[1]Upcoming!$A$5:$I$185,2,FALSE)</f>
        <v/>
      </c>
      <c r="U66" s="83" t="str">
        <f>VLOOKUP(L66,[1]Upcoming!$A$5:$I$185,3,FALSE)</f>
        <v/>
      </c>
      <c r="V66" s="84"/>
      <c r="W66" s="82" t="e">
        <f>IF(ISBLANK(VLOOKUP(I66,[1]Upcoming!$A$5:$I$185,4,FALSE)),"",VLOOKUP(I66,[1]Upcoming!$A$5:$I$185,4,FALSE))</f>
        <v>#N/A</v>
      </c>
      <c r="X66" s="83" t="e">
        <f>IF(ISBLANK(VLOOKUP(I66,[1]Upcoming!$A$5:$I$185,5,FALSE)),"",VLOOKUP(I66,[1]Upcoming!$A$5:$I$185,5,FALSE))</f>
        <v>#N/A</v>
      </c>
      <c r="Y66" s="84"/>
      <c r="Z66" s="82" t="str">
        <f>IF(ISBLANK(VLOOKUP(L66,[1]Upcoming!$A$5:$I$185,6,FALSE)),"",VLOOKUP(L66,[1]Upcoming!$A$5:$I$185,6,FALSE))</f>
        <v/>
      </c>
      <c r="AA66" s="83" t="str">
        <f>IF(ISBLANK(VLOOKUP(L66,[1]Upcoming!$A$5:$I$185,7,FALSE)),"",VLOOKUP(L66,[1]Upcoming!$A$5:$I$185,7,FALSE))</f>
        <v/>
      </c>
      <c r="AB66" s="84"/>
      <c r="AC66" s="82" t="str">
        <f>IF(ISBLANK(VLOOKUP(L66,[1]Upcoming!$A$5:$I$185,8,FALSE)),"",VLOOKUP(L66,[1]Upcoming!$A$5:$I$185,8,FALSE))</f>
        <v/>
      </c>
      <c r="AD66" s="83" t="str">
        <f>IF(ISBLANK(VLOOKUP(L66,[1]Upcoming!$A$5:$I$185,9,FALSE)),"",VLOOKUP(L66,[1]Upcoming!$A$5:$I$185,9,FALSE))</f>
        <v/>
      </c>
      <c r="AE66" s="20"/>
      <c r="AF66" s="20"/>
      <c r="AG66" s="20"/>
      <c r="AH66" s="2"/>
      <c r="AI66" s="2"/>
      <c r="AJ66" s="2"/>
      <c r="AK66" s="2"/>
    </row>
    <row r="67" spans="1:37" ht="25.5" customHeight="1" thickBot="1" x14ac:dyDescent="0.3">
      <c r="A67" s="1"/>
      <c r="B67" s="2"/>
      <c r="C67" s="2"/>
      <c r="D67" s="2"/>
      <c r="E67" s="2"/>
      <c r="F67" s="2"/>
      <c r="G67" s="2"/>
      <c r="H67" s="2"/>
      <c r="I67" s="2"/>
      <c r="J67" s="2"/>
      <c r="K67" s="74" t="e">
        <f t="shared" ca="1" si="6"/>
        <v>#REF!</v>
      </c>
      <c r="L67" s="97" t="s">
        <v>46</v>
      </c>
      <c r="M67" s="86"/>
      <c r="N67" s="106" t="e">
        <f t="shared" ca="1" si="7"/>
        <v>#REF!</v>
      </c>
      <c r="O67" s="87" t="e">
        <f t="shared" ca="1" si="8"/>
        <v>#REF!</v>
      </c>
      <c r="P67" s="88" t="e">
        <f t="shared" ca="1" si="9"/>
        <v>#REF!</v>
      </c>
      <c r="Q67" s="89" t="e">
        <f t="shared" ca="1" si="10"/>
        <v>#REF!</v>
      </c>
      <c r="R67" s="90" t="e">
        <f t="shared" ca="1" si="11"/>
        <v>#REF!</v>
      </c>
      <c r="S67" s="81"/>
      <c r="T67" s="82" t="str">
        <f>VLOOKUP(L67,[1]Upcoming!$A$5:$I$185,2,FALSE)</f>
        <v/>
      </c>
      <c r="U67" s="83" t="str">
        <f>VLOOKUP(L67,[1]Upcoming!$A$5:$I$185,3,FALSE)</f>
        <v/>
      </c>
      <c r="V67" s="84"/>
      <c r="W67" s="82" t="e">
        <f>IF(ISBLANK(VLOOKUP(I67,[1]Upcoming!$A$5:$I$185,4,FALSE)),"",VLOOKUP(I67,[1]Upcoming!$A$5:$I$185,4,FALSE))</f>
        <v>#N/A</v>
      </c>
      <c r="X67" s="83" t="e">
        <f>IF(ISBLANK(VLOOKUP(I67,[1]Upcoming!$A$5:$I$185,5,FALSE)),"",VLOOKUP(I67,[1]Upcoming!$A$5:$I$185,5,FALSE))</f>
        <v>#N/A</v>
      </c>
      <c r="Y67" s="84"/>
      <c r="Z67" s="82" t="str">
        <f>IF(ISBLANK(VLOOKUP(L67,[1]Upcoming!$A$5:$I$185,6,FALSE)),"",VLOOKUP(L67,[1]Upcoming!$A$5:$I$185,6,FALSE))</f>
        <v/>
      </c>
      <c r="AA67" s="83" t="str">
        <f>IF(ISBLANK(VLOOKUP(L67,[1]Upcoming!$A$5:$I$185,7,FALSE)),"",VLOOKUP(L67,[1]Upcoming!$A$5:$I$185,7,FALSE))</f>
        <v/>
      </c>
      <c r="AB67" s="84"/>
      <c r="AC67" s="82" t="str">
        <f>IF(ISBLANK(VLOOKUP(L67,[1]Upcoming!$A$5:$I$185,8,FALSE)),"",VLOOKUP(L67,[1]Upcoming!$A$5:$I$185,8,FALSE))</f>
        <v/>
      </c>
      <c r="AD67" s="83" t="str">
        <f>IF(ISBLANK(VLOOKUP(L67,[1]Upcoming!$A$5:$I$185,9,FALSE)),"",VLOOKUP(L67,[1]Upcoming!$A$5:$I$185,9,FALSE))</f>
        <v/>
      </c>
      <c r="AE67" s="20"/>
      <c r="AF67" s="20"/>
      <c r="AG67" s="20"/>
      <c r="AH67" s="2"/>
      <c r="AI67" s="2"/>
      <c r="AJ67" s="2"/>
      <c r="AK67" s="2"/>
    </row>
    <row r="68" spans="1:37" ht="25.5" customHeight="1" thickBot="1" x14ac:dyDescent="0.3">
      <c r="A68" s="1"/>
      <c r="B68" s="2"/>
      <c r="C68" s="2"/>
      <c r="D68" s="2"/>
      <c r="E68" s="2"/>
      <c r="F68" s="2"/>
      <c r="G68" s="2"/>
      <c r="H68" s="2"/>
      <c r="I68" s="2"/>
      <c r="J68" s="2"/>
      <c r="K68" s="74" t="e">
        <f t="shared" ca="1" si="6"/>
        <v>#REF!</v>
      </c>
      <c r="L68" s="97" t="s">
        <v>268</v>
      </c>
      <c r="M68" s="86"/>
      <c r="N68" s="106" t="e">
        <f t="shared" ca="1" si="7"/>
        <v>#REF!</v>
      </c>
      <c r="O68" s="87" t="e">
        <f t="shared" ca="1" si="8"/>
        <v>#REF!</v>
      </c>
      <c r="P68" s="88" t="e">
        <f t="shared" ca="1" si="9"/>
        <v>#REF!</v>
      </c>
      <c r="Q68" s="89" t="e">
        <f t="shared" ca="1" si="10"/>
        <v>#REF!</v>
      </c>
      <c r="R68" s="90" t="e">
        <f t="shared" ca="1" si="11"/>
        <v>#REF!</v>
      </c>
      <c r="S68" s="81"/>
      <c r="T68" s="82" t="str">
        <f>VLOOKUP(L68,[1]Upcoming!$A$5:$I$185,2,FALSE)</f>
        <v/>
      </c>
      <c r="U68" s="83" t="str">
        <f>VLOOKUP(L68,[1]Upcoming!$A$5:$I$185,3,FALSE)</f>
        <v/>
      </c>
      <c r="V68" s="84"/>
      <c r="W68" s="82" t="e">
        <f>IF(ISBLANK(VLOOKUP(I68,[1]Upcoming!$A$5:$I$185,4,FALSE)),"",VLOOKUP(I68,[1]Upcoming!$A$5:$I$185,4,FALSE))</f>
        <v>#N/A</v>
      </c>
      <c r="X68" s="83" t="e">
        <f>IF(ISBLANK(VLOOKUP(I68,[1]Upcoming!$A$5:$I$185,5,FALSE)),"",VLOOKUP(I68,[1]Upcoming!$A$5:$I$185,5,FALSE))</f>
        <v>#N/A</v>
      </c>
      <c r="Y68" s="84"/>
      <c r="Z68" s="82" t="str">
        <f>IF(ISBLANK(VLOOKUP(L68,[1]Upcoming!$A$5:$I$185,6,FALSE)),"",VLOOKUP(L68,[1]Upcoming!$A$5:$I$185,6,FALSE))</f>
        <v/>
      </c>
      <c r="AA68" s="83" t="str">
        <f>IF(ISBLANK(VLOOKUP(L68,[1]Upcoming!$A$5:$I$185,7,FALSE)),"",VLOOKUP(L68,[1]Upcoming!$A$5:$I$185,7,FALSE))</f>
        <v/>
      </c>
      <c r="AB68" s="84"/>
      <c r="AC68" s="82" t="str">
        <f>IF(ISBLANK(VLOOKUP(L68,[1]Upcoming!$A$5:$I$185,8,FALSE)),"",VLOOKUP(L68,[1]Upcoming!$A$5:$I$185,8,FALSE))</f>
        <v/>
      </c>
      <c r="AD68" s="83" t="str">
        <f>IF(ISBLANK(VLOOKUP(L68,[1]Upcoming!$A$5:$I$185,9,FALSE)),"",VLOOKUP(L68,[1]Upcoming!$A$5:$I$185,9,FALSE))</f>
        <v/>
      </c>
      <c r="AE68" s="20"/>
      <c r="AF68" s="20"/>
      <c r="AG68" s="20"/>
      <c r="AH68" s="2"/>
      <c r="AI68" s="2"/>
      <c r="AJ68" s="2"/>
      <c r="AK68" s="2"/>
    </row>
    <row r="69" spans="1:37" ht="25.5" customHeight="1" thickBot="1" x14ac:dyDescent="0.3">
      <c r="A69" s="1"/>
      <c r="B69" s="2"/>
      <c r="C69" s="2"/>
      <c r="D69" s="2"/>
      <c r="E69" s="2"/>
      <c r="F69" s="2"/>
      <c r="G69" s="2"/>
      <c r="H69" s="2"/>
      <c r="I69" s="2"/>
      <c r="J69" s="2"/>
      <c r="K69" s="74" t="e">
        <f t="shared" ca="1" si="6"/>
        <v>#REF!</v>
      </c>
      <c r="L69" s="97" t="s">
        <v>263</v>
      </c>
      <c r="M69" s="86"/>
      <c r="N69" s="106" t="e">
        <f t="shared" ca="1" si="7"/>
        <v>#REF!</v>
      </c>
      <c r="O69" s="87" t="e">
        <f t="shared" ca="1" si="8"/>
        <v>#REF!</v>
      </c>
      <c r="P69" s="88" t="e">
        <f t="shared" ca="1" si="9"/>
        <v>#REF!</v>
      </c>
      <c r="Q69" s="89" t="e">
        <f t="shared" ca="1" si="10"/>
        <v>#REF!</v>
      </c>
      <c r="R69" s="90" t="e">
        <f t="shared" ca="1" si="11"/>
        <v>#REF!</v>
      </c>
      <c r="S69" s="81"/>
      <c r="T69" s="82" t="str">
        <f>VLOOKUP(L69,[1]Upcoming!$A$5:$I$185,2,FALSE)</f>
        <v/>
      </c>
      <c r="U69" s="83" t="str">
        <f>VLOOKUP(L69,[1]Upcoming!$A$5:$I$185,3,FALSE)</f>
        <v/>
      </c>
      <c r="V69" s="84"/>
      <c r="W69" s="82" t="e">
        <f>IF(ISBLANK(VLOOKUP(I69,[1]Upcoming!$A$5:$I$185,4,FALSE)),"",VLOOKUP(I69,[1]Upcoming!$A$5:$I$185,4,FALSE))</f>
        <v>#N/A</v>
      </c>
      <c r="X69" s="83" t="e">
        <f>IF(ISBLANK(VLOOKUP(I69,[1]Upcoming!$A$5:$I$185,5,FALSE)),"",VLOOKUP(I69,[1]Upcoming!$A$5:$I$185,5,FALSE))</f>
        <v>#N/A</v>
      </c>
      <c r="Y69" s="84"/>
      <c r="Z69" s="82" t="str">
        <f>IF(ISBLANK(VLOOKUP(L69,[1]Upcoming!$A$5:$I$185,6,FALSE)),"",VLOOKUP(L69,[1]Upcoming!$A$5:$I$185,6,FALSE))</f>
        <v/>
      </c>
      <c r="AA69" s="83" t="str">
        <f>IF(ISBLANK(VLOOKUP(L69,[1]Upcoming!$A$5:$I$185,7,FALSE)),"",VLOOKUP(L69,[1]Upcoming!$A$5:$I$185,7,FALSE))</f>
        <v/>
      </c>
      <c r="AB69" s="84"/>
      <c r="AC69" s="82" t="str">
        <f>IF(ISBLANK(VLOOKUP(L69,[1]Upcoming!$A$5:$I$185,8,FALSE)),"",VLOOKUP(L69,[1]Upcoming!$A$5:$I$185,8,FALSE))</f>
        <v/>
      </c>
      <c r="AD69" s="83" t="str">
        <f>IF(ISBLANK(VLOOKUP(L69,[1]Upcoming!$A$5:$I$185,9,FALSE)),"",VLOOKUP(L69,[1]Upcoming!$A$5:$I$185,9,FALSE))</f>
        <v/>
      </c>
      <c r="AE69" s="20"/>
      <c r="AF69" s="20"/>
      <c r="AG69" s="20"/>
      <c r="AH69" s="2"/>
      <c r="AI69" s="2"/>
      <c r="AJ69" s="2"/>
      <c r="AK69" s="2"/>
    </row>
    <row r="70" spans="1:37" ht="25.5" customHeight="1" thickBot="1" x14ac:dyDescent="0.3">
      <c r="A70" s="1"/>
      <c r="B70" s="2"/>
      <c r="C70" s="2"/>
      <c r="D70" s="2"/>
      <c r="E70" s="2"/>
      <c r="F70" s="2"/>
      <c r="G70" s="2"/>
      <c r="H70" s="2"/>
      <c r="I70" s="2"/>
      <c r="J70" s="2"/>
      <c r="K70" s="74" t="e">
        <f t="shared" ca="1" si="6"/>
        <v>#REF!</v>
      </c>
      <c r="L70" s="97" t="s">
        <v>52</v>
      </c>
      <c r="M70" s="86"/>
      <c r="N70" s="106" t="e">
        <f t="shared" ca="1" si="7"/>
        <v>#REF!</v>
      </c>
      <c r="O70" s="87" t="e">
        <f t="shared" ca="1" si="8"/>
        <v>#REF!</v>
      </c>
      <c r="P70" s="88" t="e">
        <f t="shared" ca="1" si="9"/>
        <v>#REF!</v>
      </c>
      <c r="Q70" s="89" t="e">
        <f t="shared" ca="1" si="10"/>
        <v>#REF!</v>
      </c>
      <c r="R70" s="90" t="e">
        <f t="shared" ca="1" si="11"/>
        <v>#REF!</v>
      </c>
      <c r="S70" s="81"/>
      <c r="T70" s="82" t="str">
        <f>VLOOKUP(L70,[1]Upcoming!$A$5:$I$185,2,FALSE)</f>
        <v/>
      </c>
      <c r="U70" s="83" t="str">
        <f>VLOOKUP(L70,[1]Upcoming!$A$5:$I$185,3,FALSE)</f>
        <v/>
      </c>
      <c r="V70" s="84"/>
      <c r="W70" s="82" t="e">
        <f>IF(ISBLANK(VLOOKUP(I70,[1]Upcoming!$A$5:$I$185,4,FALSE)),"",VLOOKUP(I70,[1]Upcoming!$A$5:$I$185,4,FALSE))</f>
        <v>#N/A</v>
      </c>
      <c r="X70" s="83" t="e">
        <f>IF(ISBLANK(VLOOKUP(I70,[1]Upcoming!$A$5:$I$185,5,FALSE)),"",VLOOKUP(I70,[1]Upcoming!$A$5:$I$185,5,FALSE))</f>
        <v>#N/A</v>
      </c>
      <c r="Y70" s="84"/>
      <c r="Z70" s="82" t="str">
        <f>IF(ISBLANK(VLOOKUP(L70,[1]Upcoming!$A$5:$I$185,6,FALSE)),"",VLOOKUP(L70,[1]Upcoming!$A$5:$I$185,6,FALSE))</f>
        <v/>
      </c>
      <c r="AA70" s="83" t="str">
        <f>IF(ISBLANK(VLOOKUP(L70,[1]Upcoming!$A$5:$I$185,7,FALSE)),"",VLOOKUP(L70,[1]Upcoming!$A$5:$I$185,7,FALSE))</f>
        <v/>
      </c>
      <c r="AB70" s="84"/>
      <c r="AC70" s="82" t="str">
        <f>IF(ISBLANK(VLOOKUP(L70,[1]Upcoming!$A$5:$I$185,8,FALSE)),"",VLOOKUP(L70,[1]Upcoming!$A$5:$I$185,8,FALSE))</f>
        <v/>
      </c>
      <c r="AD70" s="83" t="str">
        <f>IF(ISBLANK(VLOOKUP(L70,[1]Upcoming!$A$5:$I$185,9,FALSE)),"",VLOOKUP(L70,[1]Upcoming!$A$5:$I$185,9,FALSE))</f>
        <v/>
      </c>
      <c r="AE70" s="20"/>
      <c r="AF70" s="20"/>
      <c r="AG70" s="20"/>
      <c r="AH70" s="2"/>
      <c r="AI70" s="2"/>
      <c r="AJ70" s="2"/>
      <c r="AK70" s="2"/>
    </row>
    <row r="71" spans="1:37" ht="25.5" customHeight="1" thickBot="1" x14ac:dyDescent="0.3">
      <c r="A71" s="1"/>
      <c r="B71" s="2"/>
      <c r="C71" s="2"/>
      <c r="D71" s="2"/>
      <c r="E71" s="2"/>
      <c r="F71" s="2"/>
      <c r="G71" s="2"/>
      <c r="H71" s="2"/>
      <c r="I71" s="2"/>
      <c r="J71" s="2"/>
      <c r="K71" s="74" t="e">
        <f t="shared" ca="1" si="6"/>
        <v>#REF!</v>
      </c>
      <c r="L71" s="97" t="s">
        <v>322</v>
      </c>
      <c r="M71" s="86"/>
      <c r="N71" s="106" t="e">
        <f t="shared" ca="1" si="7"/>
        <v>#REF!</v>
      </c>
      <c r="O71" s="87" t="e">
        <f t="shared" ca="1" si="8"/>
        <v>#REF!</v>
      </c>
      <c r="P71" s="88" t="e">
        <f t="shared" ca="1" si="9"/>
        <v>#REF!</v>
      </c>
      <c r="Q71" s="89" t="e">
        <f t="shared" ca="1" si="10"/>
        <v>#REF!</v>
      </c>
      <c r="R71" s="90" t="e">
        <f t="shared" ca="1" si="11"/>
        <v>#REF!</v>
      </c>
      <c r="S71" s="81"/>
      <c r="T71" s="82" t="str">
        <f>VLOOKUP(L71,[1]Upcoming!$A$5:$I$185,2,FALSE)</f>
        <v/>
      </c>
      <c r="U71" s="83" t="str">
        <f>VLOOKUP(L71,[1]Upcoming!$A$5:$I$185,3,FALSE)</f>
        <v/>
      </c>
      <c r="V71" s="84"/>
      <c r="W71" s="82" t="e">
        <f>IF(ISBLANK(VLOOKUP(I71,[1]Upcoming!$A$5:$I$185,4,FALSE)),"",VLOOKUP(I71,[1]Upcoming!$A$5:$I$185,4,FALSE))</f>
        <v>#N/A</v>
      </c>
      <c r="X71" s="83" t="e">
        <f>IF(ISBLANK(VLOOKUP(I71,[1]Upcoming!$A$5:$I$185,5,FALSE)),"",VLOOKUP(I71,[1]Upcoming!$A$5:$I$185,5,FALSE))</f>
        <v>#N/A</v>
      </c>
      <c r="Y71" s="84"/>
      <c r="Z71" s="82" t="str">
        <f>IF(ISBLANK(VLOOKUP(L71,[1]Upcoming!$A$5:$I$185,6,FALSE)),"",VLOOKUP(L71,[1]Upcoming!$A$5:$I$185,6,FALSE))</f>
        <v/>
      </c>
      <c r="AA71" s="83" t="str">
        <f>IF(ISBLANK(VLOOKUP(L71,[1]Upcoming!$A$5:$I$185,7,FALSE)),"",VLOOKUP(L71,[1]Upcoming!$A$5:$I$185,7,FALSE))</f>
        <v/>
      </c>
      <c r="AB71" s="84"/>
      <c r="AC71" s="82" t="str">
        <f>IF(ISBLANK(VLOOKUP(L71,[1]Upcoming!$A$5:$I$185,8,FALSE)),"",VLOOKUP(L71,[1]Upcoming!$A$5:$I$185,8,FALSE))</f>
        <v/>
      </c>
      <c r="AD71" s="83" t="str">
        <f>IF(ISBLANK(VLOOKUP(L71,[1]Upcoming!$A$5:$I$185,9,FALSE)),"",VLOOKUP(L71,[1]Upcoming!$A$5:$I$185,9,FALSE))</f>
        <v/>
      </c>
      <c r="AE71" s="20"/>
      <c r="AF71" s="20"/>
      <c r="AG71" s="20"/>
      <c r="AH71" s="2"/>
      <c r="AI71" s="2"/>
      <c r="AJ71" s="2"/>
      <c r="AK71" s="2"/>
    </row>
    <row r="72" spans="1:37" ht="25.5" customHeight="1" thickBot="1" x14ac:dyDescent="0.3">
      <c r="A72" s="1"/>
      <c r="B72" s="2"/>
      <c r="C72" s="2"/>
      <c r="D72" s="2"/>
      <c r="E72" s="2"/>
      <c r="F72" s="2"/>
      <c r="G72" s="2"/>
      <c r="H72" s="2"/>
      <c r="I72" s="2"/>
      <c r="J72" s="2"/>
      <c r="K72" s="74" t="e">
        <f t="shared" ca="1" si="6"/>
        <v>#REF!</v>
      </c>
      <c r="L72" s="97" t="s">
        <v>30</v>
      </c>
      <c r="M72" s="86"/>
      <c r="N72" s="106" t="e">
        <f t="shared" ca="1" si="7"/>
        <v>#REF!</v>
      </c>
      <c r="O72" s="87" t="e">
        <f t="shared" ca="1" si="8"/>
        <v>#REF!</v>
      </c>
      <c r="P72" s="88" t="e">
        <f t="shared" ca="1" si="9"/>
        <v>#REF!</v>
      </c>
      <c r="Q72" s="89" t="e">
        <f t="shared" ca="1" si="10"/>
        <v>#REF!</v>
      </c>
      <c r="R72" s="90" t="e">
        <f t="shared" ca="1" si="11"/>
        <v>#REF!</v>
      </c>
      <c r="S72" s="81"/>
      <c r="T72" s="82" t="str">
        <f>VLOOKUP(L72,[1]Upcoming!$A$5:$I$185,2,FALSE)</f>
        <v/>
      </c>
      <c r="U72" s="83" t="str">
        <f>VLOOKUP(L72,[1]Upcoming!$A$5:$I$185,3,FALSE)</f>
        <v/>
      </c>
      <c r="V72" s="84"/>
      <c r="W72" s="82" t="e">
        <f>IF(ISBLANK(VLOOKUP(I72,[1]Upcoming!$A$5:$I$185,4,FALSE)),"",VLOOKUP(I72,[1]Upcoming!$A$5:$I$185,4,FALSE))</f>
        <v>#N/A</v>
      </c>
      <c r="X72" s="83" t="e">
        <f>IF(ISBLANK(VLOOKUP(I72,[1]Upcoming!$A$5:$I$185,5,FALSE)),"",VLOOKUP(I72,[1]Upcoming!$A$5:$I$185,5,FALSE))</f>
        <v>#N/A</v>
      </c>
      <c r="Y72" s="84"/>
      <c r="Z72" s="82" t="str">
        <f>IF(ISBLANK(VLOOKUP(L72,[1]Upcoming!$A$5:$I$185,6,FALSE)),"",VLOOKUP(L72,[1]Upcoming!$A$5:$I$185,6,FALSE))</f>
        <v/>
      </c>
      <c r="AA72" s="83" t="str">
        <f>IF(ISBLANK(VLOOKUP(L72,[1]Upcoming!$A$5:$I$185,7,FALSE)),"",VLOOKUP(L72,[1]Upcoming!$A$5:$I$185,7,FALSE))</f>
        <v/>
      </c>
      <c r="AB72" s="84"/>
      <c r="AC72" s="82" t="str">
        <f>IF(ISBLANK(VLOOKUP(L72,[1]Upcoming!$A$5:$I$185,8,FALSE)),"",VLOOKUP(L72,[1]Upcoming!$A$5:$I$185,8,FALSE))</f>
        <v/>
      </c>
      <c r="AD72" s="83" t="str">
        <f>IF(ISBLANK(VLOOKUP(L72,[1]Upcoming!$A$5:$I$185,9,FALSE)),"",VLOOKUP(L72,[1]Upcoming!$A$5:$I$185,9,FALSE))</f>
        <v/>
      </c>
      <c r="AE72" s="20"/>
      <c r="AF72" s="20"/>
      <c r="AG72" s="20"/>
      <c r="AH72" s="2"/>
      <c r="AI72" s="2"/>
      <c r="AJ72" s="2"/>
      <c r="AK72" s="2"/>
    </row>
    <row r="73" spans="1:37" ht="25.5" customHeight="1" thickBot="1" x14ac:dyDescent="0.3">
      <c r="A73" s="1"/>
      <c r="B73" s="2"/>
      <c r="C73" s="2"/>
      <c r="D73" s="2"/>
      <c r="E73" s="2"/>
      <c r="F73" s="2"/>
      <c r="G73" s="2"/>
      <c r="H73" s="2"/>
      <c r="I73" s="2"/>
      <c r="J73" s="2"/>
      <c r="K73" s="74" t="e">
        <f t="shared" ca="1" si="6"/>
        <v>#REF!</v>
      </c>
      <c r="L73" s="97" t="s">
        <v>346</v>
      </c>
      <c r="M73" s="86"/>
      <c r="N73" s="106" t="e">
        <f t="shared" ca="1" si="7"/>
        <v>#REF!</v>
      </c>
      <c r="O73" s="87" t="e">
        <f t="shared" ca="1" si="8"/>
        <v>#REF!</v>
      </c>
      <c r="P73" s="88" t="e">
        <f t="shared" ca="1" si="9"/>
        <v>#REF!</v>
      </c>
      <c r="Q73" s="89" t="e">
        <f t="shared" ca="1" si="10"/>
        <v>#REF!</v>
      </c>
      <c r="R73" s="90" t="e">
        <f t="shared" ca="1" si="11"/>
        <v>#REF!</v>
      </c>
      <c r="S73" s="81"/>
      <c r="T73" s="82" t="str">
        <f>VLOOKUP(L73,[1]Upcoming!$A$5:$I$185,2,FALSE)</f>
        <v/>
      </c>
      <c r="U73" s="83" t="str">
        <f>VLOOKUP(L73,[1]Upcoming!$A$5:$I$185,3,FALSE)</f>
        <v/>
      </c>
      <c r="V73" s="84"/>
      <c r="W73" s="82" t="e">
        <f>IF(ISBLANK(VLOOKUP(I73,[1]Upcoming!$A$5:$I$185,4,FALSE)),"",VLOOKUP(I73,[1]Upcoming!$A$5:$I$185,4,FALSE))</f>
        <v>#N/A</v>
      </c>
      <c r="X73" s="83" t="e">
        <f>IF(ISBLANK(VLOOKUP(I73,[1]Upcoming!$A$5:$I$185,5,FALSE)),"",VLOOKUP(I73,[1]Upcoming!$A$5:$I$185,5,FALSE))</f>
        <v>#N/A</v>
      </c>
      <c r="Y73" s="84"/>
      <c r="Z73" s="82" t="str">
        <f>IF(ISBLANK(VLOOKUP(L73,[1]Upcoming!$A$5:$I$185,6,FALSE)),"",VLOOKUP(L73,[1]Upcoming!$A$5:$I$185,6,FALSE))</f>
        <v/>
      </c>
      <c r="AA73" s="83" t="str">
        <f>IF(ISBLANK(VLOOKUP(L73,[1]Upcoming!$A$5:$I$185,7,FALSE)),"",VLOOKUP(L73,[1]Upcoming!$A$5:$I$185,7,FALSE))</f>
        <v/>
      </c>
      <c r="AB73" s="84"/>
      <c r="AC73" s="82" t="str">
        <f>IF(ISBLANK(VLOOKUP(L73,[1]Upcoming!$A$5:$I$185,8,FALSE)),"",VLOOKUP(L73,[1]Upcoming!$A$5:$I$185,8,FALSE))</f>
        <v/>
      </c>
      <c r="AD73" s="83" t="str">
        <f>IF(ISBLANK(VLOOKUP(L73,[1]Upcoming!$A$5:$I$185,9,FALSE)),"",VLOOKUP(L73,[1]Upcoming!$A$5:$I$185,9,FALSE))</f>
        <v/>
      </c>
      <c r="AE73" s="20"/>
      <c r="AF73" s="20"/>
      <c r="AG73" s="20"/>
      <c r="AH73" s="2"/>
      <c r="AI73" s="2"/>
      <c r="AJ73" s="2"/>
      <c r="AK73" s="2"/>
    </row>
    <row r="74" spans="1:37" ht="25.5" customHeight="1" thickBot="1" x14ac:dyDescent="0.3">
      <c r="A74" s="1"/>
      <c r="B74" s="2"/>
      <c r="C74" s="2"/>
      <c r="D74" s="2"/>
      <c r="E74" s="2"/>
      <c r="F74" s="2"/>
      <c r="G74" s="2"/>
      <c r="H74" s="2"/>
      <c r="I74" s="2"/>
      <c r="J74" s="2"/>
      <c r="K74" s="74" t="e">
        <f t="shared" ca="1" si="6"/>
        <v>#REF!</v>
      </c>
      <c r="L74" s="97" t="s">
        <v>365</v>
      </c>
      <c r="M74" s="86"/>
      <c r="N74" s="106" t="e">
        <f t="shared" ca="1" si="7"/>
        <v>#REF!</v>
      </c>
      <c r="O74" s="87" t="e">
        <f t="shared" ca="1" si="8"/>
        <v>#REF!</v>
      </c>
      <c r="P74" s="88" t="e">
        <f t="shared" ca="1" si="9"/>
        <v>#REF!</v>
      </c>
      <c r="Q74" s="89" t="e">
        <f t="shared" ca="1" si="10"/>
        <v>#REF!</v>
      </c>
      <c r="R74" s="90" t="e">
        <f t="shared" ca="1" si="11"/>
        <v>#REF!</v>
      </c>
      <c r="S74" s="81"/>
      <c r="T74" s="82" t="str">
        <f>VLOOKUP(L74,[1]Upcoming!$A$5:$I$185,2,FALSE)</f>
        <v/>
      </c>
      <c r="U74" s="83" t="str">
        <f>VLOOKUP(L74,[1]Upcoming!$A$5:$I$185,3,FALSE)</f>
        <v/>
      </c>
      <c r="V74" s="84"/>
      <c r="W74" s="82" t="e">
        <f>IF(ISBLANK(VLOOKUP(I74,[1]Upcoming!$A$5:$I$185,4,FALSE)),"",VLOOKUP(I74,[1]Upcoming!$A$5:$I$185,4,FALSE))</f>
        <v>#N/A</v>
      </c>
      <c r="X74" s="83" t="e">
        <f>IF(ISBLANK(VLOOKUP(I74,[1]Upcoming!$A$5:$I$185,5,FALSE)),"",VLOOKUP(I74,[1]Upcoming!$A$5:$I$185,5,FALSE))</f>
        <v>#N/A</v>
      </c>
      <c r="Y74" s="84"/>
      <c r="Z74" s="82" t="str">
        <f>IF(ISBLANK(VLOOKUP(L74,[1]Upcoming!$A$5:$I$185,6,FALSE)),"",VLOOKUP(L74,[1]Upcoming!$A$5:$I$185,6,FALSE))</f>
        <v/>
      </c>
      <c r="AA74" s="83" t="str">
        <f>IF(ISBLANK(VLOOKUP(L74,[1]Upcoming!$A$5:$I$185,7,FALSE)),"",VLOOKUP(L74,[1]Upcoming!$A$5:$I$185,7,FALSE))</f>
        <v/>
      </c>
      <c r="AB74" s="84"/>
      <c r="AC74" s="82" t="str">
        <f>IF(ISBLANK(VLOOKUP(L74,[1]Upcoming!$A$5:$I$185,8,FALSE)),"",VLOOKUP(L74,[1]Upcoming!$A$5:$I$185,8,FALSE))</f>
        <v/>
      </c>
      <c r="AD74" s="83" t="str">
        <f>IF(ISBLANK(VLOOKUP(L74,[1]Upcoming!$A$5:$I$185,9,FALSE)),"",VLOOKUP(L74,[1]Upcoming!$A$5:$I$185,9,FALSE))</f>
        <v/>
      </c>
      <c r="AE74" s="20"/>
      <c r="AF74" s="20"/>
      <c r="AG74" s="20"/>
      <c r="AH74" s="2"/>
      <c r="AI74" s="2"/>
      <c r="AJ74" s="2"/>
      <c r="AK74" s="2"/>
    </row>
    <row r="75" spans="1:37" ht="25.5" customHeight="1" thickBot="1" x14ac:dyDescent="0.3">
      <c r="A75" s="1"/>
      <c r="B75" s="2"/>
      <c r="C75" s="2"/>
      <c r="D75" s="2"/>
      <c r="E75" s="2"/>
      <c r="F75" s="2"/>
      <c r="G75" s="2"/>
      <c r="H75" s="2"/>
      <c r="I75" s="2"/>
      <c r="J75" s="2"/>
      <c r="K75" s="74" t="e">
        <f t="shared" ca="1" si="6"/>
        <v>#REF!</v>
      </c>
      <c r="L75" s="97" t="s">
        <v>355</v>
      </c>
      <c r="M75" s="86"/>
      <c r="N75" s="106" t="e">
        <f t="shared" ca="1" si="7"/>
        <v>#REF!</v>
      </c>
      <c r="O75" s="87" t="e">
        <f t="shared" ca="1" si="8"/>
        <v>#REF!</v>
      </c>
      <c r="P75" s="88" t="e">
        <f t="shared" ca="1" si="9"/>
        <v>#REF!</v>
      </c>
      <c r="Q75" s="89" t="e">
        <f t="shared" ca="1" si="10"/>
        <v>#REF!</v>
      </c>
      <c r="R75" s="90" t="e">
        <f t="shared" ca="1" si="11"/>
        <v>#REF!</v>
      </c>
      <c r="S75" s="81"/>
      <c r="T75" s="82">
        <f>VLOOKUP(L75,[1]Upcoming!$A$5:$I$185,2,FALSE)</f>
        <v>2</v>
      </c>
      <c r="U75" s="83">
        <f>VLOOKUP(L75,[1]Upcoming!$A$5:$I$185,3,FALSE)</f>
        <v>3</v>
      </c>
      <c r="V75" s="84"/>
      <c r="W75" s="82" t="e">
        <f>IF(ISBLANK(VLOOKUP(I75,[1]Upcoming!$A$5:$I$185,4,FALSE)),"",VLOOKUP(I75,[1]Upcoming!$A$5:$I$185,4,FALSE))</f>
        <v>#N/A</v>
      </c>
      <c r="X75" s="83" t="e">
        <f>IF(ISBLANK(VLOOKUP(I75,[1]Upcoming!$A$5:$I$185,5,FALSE)),"",VLOOKUP(I75,[1]Upcoming!$A$5:$I$185,5,FALSE))</f>
        <v>#N/A</v>
      </c>
      <c r="Y75" s="84"/>
      <c r="Z75" s="82" t="str">
        <f>IF(ISBLANK(VLOOKUP(L75,[1]Upcoming!$A$5:$I$185,6,FALSE)),"",VLOOKUP(L75,[1]Upcoming!$A$5:$I$185,6,FALSE))</f>
        <v/>
      </c>
      <c r="AA75" s="83" t="str">
        <f>IF(ISBLANK(VLOOKUP(L75,[1]Upcoming!$A$5:$I$185,7,FALSE)),"",VLOOKUP(L75,[1]Upcoming!$A$5:$I$185,7,FALSE))</f>
        <v/>
      </c>
      <c r="AB75" s="84"/>
      <c r="AC75" s="82" t="str">
        <f>IF(ISBLANK(VLOOKUP(L75,[1]Upcoming!$A$5:$I$185,8,FALSE)),"",VLOOKUP(L75,[1]Upcoming!$A$5:$I$185,8,FALSE))</f>
        <v/>
      </c>
      <c r="AD75" s="83" t="str">
        <f>IF(ISBLANK(VLOOKUP(L75,[1]Upcoming!$A$5:$I$185,9,FALSE)),"",VLOOKUP(L75,[1]Upcoming!$A$5:$I$185,9,FALSE))</f>
        <v/>
      </c>
      <c r="AE75" s="20"/>
      <c r="AF75" s="20"/>
      <c r="AG75" s="20"/>
      <c r="AH75" s="2"/>
      <c r="AI75" s="2"/>
      <c r="AJ75" s="2"/>
      <c r="AK75" s="2"/>
    </row>
    <row r="76" spans="1:37" ht="25.5" customHeight="1" thickBot="1" x14ac:dyDescent="0.3">
      <c r="A76" s="1"/>
      <c r="B76" s="2"/>
      <c r="C76" s="2"/>
      <c r="D76" s="2"/>
      <c r="E76" s="2"/>
      <c r="F76" s="2"/>
      <c r="G76" s="2"/>
      <c r="H76" s="2"/>
      <c r="I76" s="2"/>
      <c r="J76" s="2"/>
      <c r="K76" s="74" t="e">
        <f t="shared" ca="1" si="6"/>
        <v>#REF!</v>
      </c>
      <c r="L76" s="97" t="s">
        <v>39</v>
      </c>
      <c r="M76" s="86"/>
      <c r="N76" s="106" t="e">
        <f t="shared" ca="1" si="7"/>
        <v>#REF!</v>
      </c>
      <c r="O76" s="87" t="e">
        <f t="shared" ca="1" si="8"/>
        <v>#REF!</v>
      </c>
      <c r="P76" s="88" t="e">
        <f t="shared" ca="1" si="9"/>
        <v>#REF!</v>
      </c>
      <c r="Q76" s="89" t="e">
        <f t="shared" ca="1" si="10"/>
        <v>#REF!</v>
      </c>
      <c r="R76" s="111" t="e">
        <f t="shared" ca="1" si="11"/>
        <v>#REF!</v>
      </c>
      <c r="S76" s="81"/>
      <c r="T76" s="82" t="str">
        <f>VLOOKUP(L76,[1]Upcoming!$A$5:$I$185,2,FALSE)</f>
        <v/>
      </c>
      <c r="U76" s="83" t="str">
        <f>VLOOKUP(L76,[1]Upcoming!$A$5:$I$185,3,FALSE)</f>
        <v/>
      </c>
      <c r="V76" s="84"/>
      <c r="W76" s="82" t="e">
        <f>IF(ISBLANK(VLOOKUP(I76,[1]Upcoming!$A$5:$I$185,4,FALSE)),"",VLOOKUP(I76,[1]Upcoming!$A$5:$I$185,4,FALSE))</f>
        <v>#N/A</v>
      </c>
      <c r="X76" s="83" t="e">
        <f>IF(ISBLANK(VLOOKUP(I76,[1]Upcoming!$A$5:$I$185,5,FALSE)),"",VLOOKUP(I76,[1]Upcoming!$A$5:$I$185,5,FALSE))</f>
        <v>#N/A</v>
      </c>
      <c r="Y76" s="84"/>
      <c r="Z76" s="82" t="str">
        <f>IF(ISBLANK(VLOOKUP(L76,[1]Upcoming!$A$5:$I$185,6,FALSE)),"",VLOOKUP(L76,[1]Upcoming!$A$5:$I$185,6,FALSE))</f>
        <v/>
      </c>
      <c r="AA76" s="83" t="str">
        <f>IF(ISBLANK(VLOOKUP(L76,[1]Upcoming!$A$5:$I$185,7,FALSE)),"",VLOOKUP(L76,[1]Upcoming!$A$5:$I$185,7,FALSE))</f>
        <v/>
      </c>
      <c r="AB76" s="84"/>
      <c r="AC76" s="82" t="str">
        <f>IF(ISBLANK(VLOOKUP(L76,[1]Upcoming!$A$5:$I$185,8,FALSE)),"",VLOOKUP(L76,[1]Upcoming!$A$5:$I$185,8,FALSE))</f>
        <v/>
      </c>
      <c r="AD76" s="83" t="str">
        <f>IF(ISBLANK(VLOOKUP(L76,[1]Upcoming!$A$5:$I$185,9,FALSE)),"",VLOOKUP(L76,[1]Upcoming!$A$5:$I$185,9,FALSE))</f>
        <v/>
      </c>
      <c r="AE76" s="20"/>
      <c r="AF76" s="20"/>
      <c r="AG76" s="20"/>
      <c r="AH76" s="2"/>
      <c r="AI76" s="2"/>
      <c r="AJ76" s="2"/>
      <c r="AK76" s="2"/>
    </row>
    <row r="77" spans="1:37" ht="25.5" customHeight="1" thickBot="1" x14ac:dyDescent="0.3">
      <c r="A77" s="1"/>
      <c r="B77" s="2"/>
      <c r="C77" s="2"/>
      <c r="D77" s="2"/>
      <c r="E77" s="2"/>
      <c r="F77" s="2"/>
      <c r="G77" s="2"/>
      <c r="H77" s="2"/>
      <c r="I77" s="2"/>
      <c r="J77" s="2"/>
      <c r="K77" s="74" t="e">
        <f t="shared" ca="1" si="6"/>
        <v>#REF!</v>
      </c>
      <c r="L77" s="97" t="s">
        <v>318</v>
      </c>
      <c r="M77" s="86"/>
      <c r="N77" s="106" t="e">
        <f t="shared" ca="1" si="7"/>
        <v>#REF!</v>
      </c>
      <c r="O77" s="87" t="e">
        <f t="shared" ca="1" si="8"/>
        <v>#REF!</v>
      </c>
      <c r="P77" s="88" t="e">
        <f t="shared" ca="1" si="9"/>
        <v>#REF!</v>
      </c>
      <c r="Q77" s="89" t="e">
        <f t="shared" ca="1" si="10"/>
        <v>#REF!</v>
      </c>
      <c r="R77" s="111" t="e">
        <f t="shared" ca="1" si="11"/>
        <v>#REF!</v>
      </c>
      <c r="S77" s="81"/>
      <c r="T77" s="82" t="str">
        <f>VLOOKUP(L77,[1]Upcoming!$A$5:$I$185,2,FALSE)</f>
        <v/>
      </c>
      <c r="U77" s="83" t="str">
        <f>VLOOKUP(L77,[1]Upcoming!$A$5:$I$185,3,FALSE)</f>
        <v/>
      </c>
      <c r="V77" s="84"/>
      <c r="W77" s="82" t="e">
        <f>IF(ISBLANK(VLOOKUP(I77,[1]Upcoming!$A$5:$I$185,4,FALSE)),"",VLOOKUP(I77,[1]Upcoming!$A$5:$I$185,4,FALSE))</f>
        <v>#N/A</v>
      </c>
      <c r="X77" s="83" t="e">
        <f>IF(ISBLANK(VLOOKUP(I77,[1]Upcoming!$A$5:$I$185,5,FALSE)),"",VLOOKUP(I77,[1]Upcoming!$A$5:$I$185,5,FALSE))</f>
        <v>#N/A</v>
      </c>
      <c r="Y77" s="84"/>
      <c r="Z77" s="82" t="str">
        <f>IF(ISBLANK(VLOOKUP(L77,[1]Upcoming!$A$5:$I$185,6,FALSE)),"",VLOOKUP(L77,[1]Upcoming!$A$5:$I$185,6,FALSE))</f>
        <v/>
      </c>
      <c r="AA77" s="83" t="str">
        <f>IF(ISBLANK(VLOOKUP(L77,[1]Upcoming!$A$5:$I$185,7,FALSE)),"",VLOOKUP(L77,[1]Upcoming!$A$5:$I$185,7,FALSE))</f>
        <v/>
      </c>
      <c r="AB77" s="84"/>
      <c r="AC77" s="82" t="str">
        <f>IF(ISBLANK(VLOOKUP(L77,[1]Upcoming!$A$5:$I$185,8,FALSE)),"",VLOOKUP(L77,[1]Upcoming!$A$5:$I$185,8,FALSE))</f>
        <v/>
      </c>
      <c r="AD77" s="83" t="str">
        <f>IF(ISBLANK(VLOOKUP(L77,[1]Upcoming!$A$5:$I$185,9,FALSE)),"",VLOOKUP(L77,[1]Upcoming!$A$5:$I$185,9,FALSE))</f>
        <v/>
      </c>
      <c r="AE77" s="20"/>
      <c r="AF77" s="20"/>
      <c r="AG77" s="20"/>
      <c r="AH77" s="2"/>
      <c r="AI77" s="2"/>
      <c r="AJ77" s="2"/>
      <c r="AK77" s="2"/>
    </row>
    <row r="78" spans="1:37" ht="25.5" customHeight="1" thickBot="1" x14ac:dyDescent="0.3">
      <c r="A78" s="1"/>
      <c r="B78" s="2"/>
      <c r="C78" s="2"/>
      <c r="D78" s="2"/>
      <c r="E78" s="2"/>
      <c r="F78" s="2"/>
      <c r="G78" s="2"/>
      <c r="H78" s="2"/>
      <c r="I78" s="2"/>
      <c r="J78" s="2"/>
      <c r="K78" s="74" t="e">
        <f t="shared" ca="1" si="6"/>
        <v>#REF!</v>
      </c>
      <c r="L78" s="97" t="s">
        <v>48</v>
      </c>
      <c r="M78" s="86"/>
      <c r="N78" s="106" t="e">
        <f t="shared" ca="1" si="7"/>
        <v>#REF!</v>
      </c>
      <c r="O78" s="87" t="e">
        <f t="shared" ca="1" si="8"/>
        <v>#REF!</v>
      </c>
      <c r="P78" s="88" t="e">
        <f t="shared" ca="1" si="9"/>
        <v>#REF!</v>
      </c>
      <c r="Q78" s="89" t="e">
        <f t="shared" ca="1" si="10"/>
        <v>#REF!</v>
      </c>
      <c r="R78" s="90" t="e">
        <f t="shared" ca="1" si="11"/>
        <v>#REF!</v>
      </c>
      <c r="S78" s="81"/>
      <c r="T78" s="82" t="str">
        <f>VLOOKUP(L78,[1]Upcoming!$A$5:$I$185,2,FALSE)</f>
        <v/>
      </c>
      <c r="U78" s="83" t="str">
        <f>VLOOKUP(L78,[1]Upcoming!$A$5:$I$185,3,FALSE)</f>
        <v/>
      </c>
      <c r="V78" s="84"/>
      <c r="W78" s="82" t="e">
        <f>IF(ISBLANK(VLOOKUP(I78,[1]Upcoming!$A$5:$I$185,4,FALSE)),"",VLOOKUP(I78,[1]Upcoming!$A$5:$I$185,4,FALSE))</f>
        <v>#N/A</v>
      </c>
      <c r="X78" s="83" t="e">
        <f>IF(ISBLANK(VLOOKUP(I78,[1]Upcoming!$A$5:$I$185,5,FALSE)),"",VLOOKUP(I78,[1]Upcoming!$A$5:$I$185,5,FALSE))</f>
        <v>#N/A</v>
      </c>
      <c r="Y78" s="84"/>
      <c r="Z78" s="82" t="str">
        <f>IF(ISBLANK(VLOOKUP(L78,[1]Upcoming!$A$5:$I$185,6,FALSE)),"",VLOOKUP(L78,[1]Upcoming!$A$5:$I$185,6,FALSE))</f>
        <v/>
      </c>
      <c r="AA78" s="83" t="str">
        <f>IF(ISBLANK(VLOOKUP(L78,[1]Upcoming!$A$5:$I$185,7,FALSE)),"",VLOOKUP(L78,[1]Upcoming!$A$5:$I$185,7,FALSE))</f>
        <v/>
      </c>
      <c r="AB78" s="84"/>
      <c r="AC78" s="82" t="str">
        <f>IF(ISBLANK(VLOOKUP(L78,[1]Upcoming!$A$5:$I$185,8,FALSE)),"",VLOOKUP(L78,[1]Upcoming!$A$5:$I$185,8,FALSE))</f>
        <v/>
      </c>
      <c r="AD78" s="83" t="str">
        <f>IF(ISBLANK(VLOOKUP(L78,[1]Upcoming!$A$5:$I$185,9,FALSE)),"",VLOOKUP(L78,[1]Upcoming!$A$5:$I$185,9,FALSE))</f>
        <v/>
      </c>
      <c r="AE78" s="20"/>
      <c r="AF78" s="20"/>
      <c r="AG78" s="20"/>
      <c r="AH78" s="2"/>
      <c r="AI78" s="2"/>
      <c r="AJ78" s="2"/>
      <c r="AK78" s="2"/>
    </row>
    <row r="79" spans="1:37" ht="25.5" customHeight="1" thickBot="1" x14ac:dyDescent="0.3">
      <c r="A79" s="1"/>
      <c r="B79" s="2"/>
      <c r="C79" s="2"/>
      <c r="D79" s="2"/>
      <c r="E79" s="2"/>
      <c r="F79" s="2"/>
      <c r="G79" s="2"/>
      <c r="H79" s="2"/>
      <c r="I79" s="2"/>
      <c r="J79" s="2"/>
      <c r="K79" s="74" t="e">
        <f t="shared" ca="1" si="6"/>
        <v>#REF!</v>
      </c>
      <c r="L79" s="97" t="s">
        <v>279</v>
      </c>
      <c r="M79" s="86"/>
      <c r="N79" s="106" t="e">
        <f t="shared" ca="1" si="7"/>
        <v>#REF!</v>
      </c>
      <c r="O79" s="87" t="e">
        <f t="shared" ca="1" si="8"/>
        <v>#REF!</v>
      </c>
      <c r="P79" s="88" t="e">
        <f t="shared" ca="1" si="9"/>
        <v>#REF!</v>
      </c>
      <c r="Q79" s="89" t="e">
        <f t="shared" ca="1" si="10"/>
        <v>#REF!</v>
      </c>
      <c r="R79" s="90" t="e">
        <f t="shared" ca="1" si="11"/>
        <v>#REF!</v>
      </c>
      <c r="S79" s="81"/>
      <c r="T79" s="82" t="str">
        <f>VLOOKUP(L79,[1]Upcoming!$A$5:$I$185,2,FALSE)</f>
        <v/>
      </c>
      <c r="U79" s="83" t="str">
        <f>VLOOKUP(L79,[1]Upcoming!$A$5:$I$185,3,FALSE)</f>
        <v/>
      </c>
      <c r="V79" s="84"/>
      <c r="W79" s="82" t="e">
        <f>IF(ISBLANK(VLOOKUP(I79,[1]Upcoming!$A$5:$I$185,4,FALSE)),"",VLOOKUP(I79,[1]Upcoming!$A$5:$I$185,4,FALSE))</f>
        <v>#N/A</v>
      </c>
      <c r="X79" s="83" t="e">
        <f>IF(ISBLANK(VLOOKUP(I79,[1]Upcoming!$A$5:$I$185,5,FALSE)),"",VLOOKUP(I79,[1]Upcoming!$A$5:$I$185,5,FALSE))</f>
        <v>#N/A</v>
      </c>
      <c r="Y79" s="84"/>
      <c r="Z79" s="82" t="str">
        <f>IF(ISBLANK(VLOOKUP(L79,[1]Upcoming!$A$5:$I$185,6,FALSE)),"",VLOOKUP(L79,[1]Upcoming!$A$5:$I$185,6,FALSE))</f>
        <v/>
      </c>
      <c r="AA79" s="83" t="str">
        <f>IF(ISBLANK(VLOOKUP(L79,[1]Upcoming!$A$5:$I$185,7,FALSE)),"",VLOOKUP(L79,[1]Upcoming!$A$5:$I$185,7,FALSE))</f>
        <v/>
      </c>
      <c r="AB79" s="84"/>
      <c r="AC79" s="82" t="str">
        <f>IF(ISBLANK(VLOOKUP(L79,[1]Upcoming!$A$5:$I$185,8,FALSE)),"",VLOOKUP(L79,[1]Upcoming!$A$5:$I$185,8,FALSE))</f>
        <v/>
      </c>
      <c r="AD79" s="83" t="str">
        <f>IF(ISBLANK(VLOOKUP(L79,[1]Upcoming!$A$5:$I$185,9,FALSE)),"",VLOOKUP(L79,[1]Upcoming!$A$5:$I$185,9,FALSE))</f>
        <v/>
      </c>
      <c r="AE79" s="20"/>
      <c r="AF79" s="20"/>
      <c r="AG79" s="20"/>
      <c r="AH79" s="2"/>
      <c r="AI79" s="2"/>
      <c r="AJ79" s="2"/>
      <c r="AK79" s="2"/>
    </row>
    <row r="80" spans="1:37" ht="25.5" customHeight="1" thickBot="1" x14ac:dyDescent="0.3">
      <c r="A80" s="1"/>
      <c r="B80" s="2"/>
      <c r="C80" s="2"/>
      <c r="D80" s="2"/>
      <c r="E80" s="2"/>
      <c r="F80" s="2"/>
      <c r="G80" s="2"/>
      <c r="H80" s="2"/>
      <c r="I80" s="2"/>
      <c r="J80" s="2"/>
      <c r="K80" s="74" t="e">
        <f t="shared" ca="1" si="6"/>
        <v>#REF!</v>
      </c>
      <c r="L80" s="97" t="s">
        <v>64</v>
      </c>
      <c r="M80" s="86"/>
      <c r="N80" s="106" t="e">
        <f t="shared" ca="1" si="7"/>
        <v>#REF!</v>
      </c>
      <c r="O80" s="87" t="e">
        <f t="shared" ca="1" si="8"/>
        <v>#REF!</v>
      </c>
      <c r="P80" s="88" t="e">
        <f t="shared" ca="1" si="9"/>
        <v>#REF!</v>
      </c>
      <c r="Q80" s="89" t="e">
        <f t="shared" ca="1" si="10"/>
        <v>#REF!</v>
      </c>
      <c r="R80" s="90" t="e">
        <f t="shared" ca="1" si="11"/>
        <v>#REF!</v>
      </c>
      <c r="S80" s="81"/>
      <c r="T80" s="82" t="str">
        <f>VLOOKUP(L80,[1]Upcoming!$A$5:$I$185,2,FALSE)</f>
        <v/>
      </c>
      <c r="U80" s="83" t="str">
        <f>VLOOKUP(L80,[1]Upcoming!$A$5:$I$185,3,FALSE)</f>
        <v/>
      </c>
      <c r="V80" s="84"/>
      <c r="W80" s="82" t="e">
        <f>IF(ISBLANK(VLOOKUP(I80,[1]Upcoming!$A$5:$I$185,4,FALSE)),"",VLOOKUP(I80,[1]Upcoming!$A$5:$I$185,4,FALSE))</f>
        <v>#N/A</v>
      </c>
      <c r="X80" s="83" t="e">
        <f>IF(ISBLANK(VLOOKUP(I80,[1]Upcoming!$A$5:$I$185,5,FALSE)),"",VLOOKUP(I80,[1]Upcoming!$A$5:$I$185,5,FALSE))</f>
        <v>#N/A</v>
      </c>
      <c r="Y80" s="84"/>
      <c r="Z80" s="82" t="str">
        <f>IF(ISBLANK(VLOOKUP(L80,[1]Upcoming!$A$5:$I$185,6,FALSE)),"",VLOOKUP(L80,[1]Upcoming!$A$5:$I$185,6,FALSE))</f>
        <v/>
      </c>
      <c r="AA80" s="83" t="str">
        <f>IF(ISBLANK(VLOOKUP(L80,[1]Upcoming!$A$5:$I$185,7,FALSE)),"",VLOOKUP(L80,[1]Upcoming!$A$5:$I$185,7,FALSE))</f>
        <v/>
      </c>
      <c r="AB80" s="84"/>
      <c r="AC80" s="82" t="str">
        <f>IF(ISBLANK(VLOOKUP(L80,[1]Upcoming!$A$5:$I$185,8,FALSE)),"",VLOOKUP(L80,[1]Upcoming!$A$5:$I$185,8,FALSE))</f>
        <v/>
      </c>
      <c r="AD80" s="83" t="str">
        <f>IF(ISBLANK(VLOOKUP(L80,[1]Upcoming!$A$5:$I$185,9,FALSE)),"",VLOOKUP(L80,[1]Upcoming!$A$5:$I$185,9,FALSE))</f>
        <v/>
      </c>
      <c r="AE80" s="20"/>
      <c r="AF80" s="20"/>
      <c r="AG80" s="20"/>
      <c r="AH80" s="2"/>
      <c r="AI80" s="2"/>
      <c r="AJ80" s="2"/>
      <c r="AK80" s="2"/>
    </row>
    <row r="81" spans="1:37" ht="25.5" customHeight="1" thickBot="1" x14ac:dyDescent="0.3">
      <c r="A81" s="1"/>
      <c r="B81" s="2"/>
      <c r="C81" s="2"/>
      <c r="D81" s="2"/>
      <c r="E81" s="2"/>
      <c r="F81" s="2"/>
      <c r="G81" s="2"/>
      <c r="H81" s="2"/>
      <c r="I81" s="2"/>
      <c r="J81" s="2"/>
      <c r="K81" s="74" t="e">
        <f t="shared" ca="1" si="6"/>
        <v>#REF!</v>
      </c>
      <c r="L81" s="97" t="s">
        <v>67</v>
      </c>
      <c r="M81" s="86"/>
      <c r="N81" s="106" t="e">
        <f t="shared" ca="1" si="7"/>
        <v>#REF!</v>
      </c>
      <c r="O81" s="87" t="e">
        <f t="shared" ca="1" si="8"/>
        <v>#REF!</v>
      </c>
      <c r="P81" s="88" t="e">
        <f t="shared" ca="1" si="9"/>
        <v>#REF!</v>
      </c>
      <c r="Q81" s="89" t="e">
        <f t="shared" ca="1" si="10"/>
        <v>#REF!</v>
      </c>
      <c r="R81" s="90" t="e">
        <f t="shared" ca="1" si="11"/>
        <v>#REF!</v>
      </c>
      <c r="S81" s="81"/>
      <c r="T81" s="82" t="str">
        <f>VLOOKUP(L81,[1]Upcoming!$A$5:$I$185,2,FALSE)</f>
        <v/>
      </c>
      <c r="U81" s="83" t="str">
        <f>VLOOKUP(L81,[1]Upcoming!$A$5:$I$185,3,FALSE)</f>
        <v/>
      </c>
      <c r="V81" s="84"/>
      <c r="W81" s="82" t="e">
        <f>IF(ISBLANK(VLOOKUP(I81,[1]Upcoming!$A$5:$I$185,4,FALSE)),"",VLOOKUP(I81,[1]Upcoming!$A$5:$I$185,4,FALSE))</f>
        <v>#N/A</v>
      </c>
      <c r="X81" s="83" t="e">
        <f>IF(ISBLANK(VLOOKUP(I81,[1]Upcoming!$A$5:$I$185,5,FALSE)),"",VLOOKUP(I81,[1]Upcoming!$A$5:$I$185,5,FALSE))</f>
        <v>#N/A</v>
      </c>
      <c r="Y81" s="84"/>
      <c r="Z81" s="82" t="str">
        <f>IF(ISBLANK(VLOOKUP(L81,[1]Upcoming!$A$5:$I$185,6,FALSE)),"",VLOOKUP(L81,[1]Upcoming!$A$5:$I$185,6,FALSE))</f>
        <v/>
      </c>
      <c r="AA81" s="83" t="str">
        <f>IF(ISBLANK(VLOOKUP(L81,[1]Upcoming!$A$5:$I$185,7,FALSE)),"",VLOOKUP(L81,[1]Upcoming!$A$5:$I$185,7,FALSE))</f>
        <v/>
      </c>
      <c r="AB81" s="84"/>
      <c r="AC81" s="82" t="str">
        <f>IF(ISBLANK(VLOOKUP(L81,[1]Upcoming!$A$5:$I$185,8,FALSE)),"",VLOOKUP(L81,[1]Upcoming!$A$5:$I$185,8,FALSE))</f>
        <v/>
      </c>
      <c r="AD81" s="83" t="str">
        <f>IF(ISBLANK(VLOOKUP(L81,[1]Upcoming!$A$5:$I$185,9,FALSE)),"",VLOOKUP(L81,[1]Upcoming!$A$5:$I$185,9,FALSE))</f>
        <v/>
      </c>
      <c r="AE81" s="20"/>
      <c r="AF81" s="20"/>
      <c r="AG81" s="20"/>
      <c r="AH81" s="2"/>
      <c r="AI81" s="2"/>
      <c r="AJ81" s="2"/>
      <c r="AK81" s="2"/>
    </row>
    <row r="82" spans="1:37" ht="25.5" customHeight="1" thickBot="1" x14ac:dyDescent="0.3">
      <c r="A82" s="1"/>
      <c r="B82" s="2"/>
      <c r="C82" s="2"/>
      <c r="D82" s="2"/>
      <c r="E82" s="2"/>
      <c r="F82" s="2"/>
      <c r="G82" s="2"/>
      <c r="H82" s="2"/>
      <c r="I82" s="2"/>
      <c r="J82" s="2"/>
      <c r="K82" s="74" t="e">
        <f t="shared" ca="1" si="6"/>
        <v>#REF!</v>
      </c>
      <c r="L82" s="97" t="s">
        <v>286</v>
      </c>
      <c r="M82" s="86"/>
      <c r="N82" s="106" t="e">
        <f t="shared" ca="1" si="7"/>
        <v>#REF!</v>
      </c>
      <c r="O82" s="87" t="e">
        <f t="shared" ca="1" si="8"/>
        <v>#REF!</v>
      </c>
      <c r="P82" s="88" t="e">
        <f t="shared" ca="1" si="9"/>
        <v>#REF!</v>
      </c>
      <c r="Q82" s="89" t="e">
        <f t="shared" ca="1" si="10"/>
        <v>#REF!</v>
      </c>
      <c r="R82" s="111" t="e">
        <f t="shared" ca="1" si="11"/>
        <v>#REF!</v>
      </c>
      <c r="S82" s="81"/>
      <c r="T82" s="82" t="str">
        <f>VLOOKUP(L82,[1]Upcoming!$A$5:$I$185,2,FALSE)</f>
        <v/>
      </c>
      <c r="U82" s="83" t="str">
        <f>VLOOKUP(L82,[1]Upcoming!$A$5:$I$185,3,FALSE)</f>
        <v/>
      </c>
      <c r="V82" s="84"/>
      <c r="W82" s="82" t="e">
        <f>IF(ISBLANK(VLOOKUP(I82,[1]Upcoming!$A$5:$I$185,4,FALSE)),"",VLOOKUP(I82,[1]Upcoming!$A$5:$I$185,4,FALSE))</f>
        <v>#N/A</v>
      </c>
      <c r="X82" s="83" t="e">
        <f>IF(ISBLANK(VLOOKUP(I82,[1]Upcoming!$A$5:$I$185,5,FALSE)),"",VLOOKUP(I82,[1]Upcoming!$A$5:$I$185,5,FALSE))</f>
        <v>#N/A</v>
      </c>
      <c r="Y82" s="84"/>
      <c r="Z82" s="82" t="str">
        <f>IF(ISBLANK(VLOOKUP(L82,[1]Upcoming!$A$5:$I$185,6,FALSE)),"",VLOOKUP(L82,[1]Upcoming!$A$5:$I$185,6,FALSE))</f>
        <v/>
      </c>
      <c r="AA82" s="83" t="str">
        <f>IF(ISBLANK(VLOOKUP(L82,[1]Upcoming!$A$5:$I$185,7,FALSE)),"",VLOOKUP(L82,[1]Upcoming!$A$5:$I$185,7,FALSE))</f>
        <v/>
      </c>
      <c r="AB82" s="84"/>
      <c r="AC82" s="82" t="str">
        <f>IF(ISBLANK(VLOOKUP(L82,[1]Upcoming!$A$5:$I$185,8,FALSE)),"",VLOOKUP(L82,[1]Upcoming!$A$5:$I$185,8,FALSE))</f>
        <v/>
      </c>
      <c r="AD82" s="83" t="str">
        <f>IF(ISBLANK(VLOOKUP(L82,[1]Upcoming!$A$5:$I$185,9,FALSE)),"",VLOOKUP(L82,[1]Upcoming!$A$5:$I$185,9,FALSE))</f>
        <v/>
      </c>
      <c r="AE82" s="20"/>
      <c r="AF82" s="20"/>
      <c r="AG82" s="20"/>
      <c r="AH82" s="2"/>
      <c r="AI82" s="2"/>
      <c r="AJ82" s="2"/>
      <c r="AK82" s="2"/>
    </row>
    <row r="83" spans="1:37" ht="25.5" customHeight="1" thickBot="1" x14ac:dyDescent="0.3">
      <c r="A83" s="1"/>
      <c r="B83" s="2"/>
      <c r="C83" s="2"/>
      <c r="D83" s="2"/>
      <c r="E83" s="2"/>
      <c r="F83" s="2"/>
      <c r="G83" s="2"/>
      <c r="H83" s="2"/>
      <c r="I83" s="2"/>
      <c r="J83" s="2"/>
      <c r="K83" s="74" t="e">
        <f t="shared" ca="1" si="6"/>
        <v>#REF!</v>
      </c>
      <c r="L83" s="97" t="s">
        <v>13</v>
      </c>
      <c r="M83" s="86"/>
      <c r="N83" s="106" t="e">
        <f t="shared" ca="1" si="7"/>
        <v>#REF!</v>
      </c>
      <c r="O83" s="87" t="e">
        <f t="shared" ca="1" si="8"/>
        <v>#REF!</v>
      </c>
      <c r="P83" s="88" t="e">
        <f t="shared" ca="1" si="9"/>
        <v>#REF!</v>
      </c>
      <c r="Q83" s="89" t="e">
        <f t="shared" ca="1" si="10"/>
        <v>#REF!</v>
      </c>
      <c r="R83" s="90" t="e">
        <f t="shared" ca="1" si="11"/>
        <v>#REF!</v>
      </c>
      <c r="S83" s="81"/>
      <c r="T83" s="82" t="str">
        <f>VLOOKUP(L83,[1]Upcoming!$A$5:$I$185,2,FALSE)</f>
        <v/>
      </c>
      <c r="U83" s="83" t="str">
        <f>VLOOKUP(L83,[1]Upcoming!$A$5:$I$185,3,FALSE)</f>
        <v/>
      </c>
      <c r="V83" s="84"/>
      <c r="W83" s="82" t="e">
        <f>IF(ISBLANK(VLOOKUP(I83,[1]Upcoming!$A$5:$I$185,4,FALSE)),"",VLOOKUP(I83,[1]Upcoming!$A$5:$I$185,4,FALSE))</f>
        <v>#N/A</v>
      </c>
      <c r="X83" s="83" t="e">
        <f>IF(ISBLANK(VLOOKUP(I83,[1]Upcoming!$A$5:$I$185,5,FALSE)),"",VLOOKUP(I83,[1]Upcoming!$A$5:$I$185,5,FALSE))</f>
        <v>#N/A</v>
      </c>
      <c r="Y83" s="84"/>
      <c r="Z83" s="82" t="str">
        <f>IF(ISBLANK(VLOOKUP(L83,[1]Upcoming!$A$5:$I$185,6,FALSE)),"",VLOOKUP(L83,[1]Upcoming!$A$5:$I$185,6,FALSE))</f>
        <v/>
      </c>
      <c r="AA83" s="83" t="str">
        <f>IF(ISBLANK(VLOOKUP(L83,[1]Upcoming!$A$5:$I$185,7,FALSE)),"",VLOOKUP(L83,[1]Upcoming!$A$5:$I$185,7,FALSE))</f>
        <v/>
      </c>
      <c r="AB83" s="84"/>
      <c r="AC83" s="82" t="str">
        <f>IF(ISBLANK(VLOOKUP(L83,[1]Upcoming!$A$5:$I$185,8,FALSE)),"",VLOOKUP(L83,[1]Upcoming!$A$5:$I$185,8,FALSE))</f>
        <v/>
      </c>
      <c r="AD83" s="83" t="str">
        <f>IF(ISBLANK(VLOOKUP(L83,[1]Upcoming!$A$5:$I$185,9,FALSE)),"",VLOOKUP(L83,[1]Upcoming!$A$5:$I$185,9,FALSE))</f>
        <v/>
      </c>
      <c r="AE83" s="20"/>
      <c r="AF83" s="20"/>
      <c r="AG83" s="20"/>
      <c r="AH83" s="2"/>
      <c r="AI83" s="2"/>
      <c r="AJ83" s="2"/>
      <c r="AK83" s="2"/>
    </row>
    <row r="84" spans="1:37" ht="25.5" customHeight="1" thickBot="1" x14ac:dyDescent="0.3">
      <c r="A84" s="1"/>
      <c r="B84" s="2"/>
      <c r="C84" s="2"/>
      <c r="D84" s="2"/>
      <c r="E84" s="2"/>
      <c r="F84" s="2"/>
      <c r="G84" s="2"/>
      <c r="H84" s="2"/>
      <c r="I84" s="2"/>
      <c r="J84" s="2"/>
      <c r="K84" s="74" t="e">
        <f t="shared" ref="K84:K115" ca="1" si="12">RANK(N84,$N$20:$N$200,0)</f>
        <v>#REF!</v>
      </c>
      <c r="L84" s="97" t="s">
        <v>288</v>
      </c>
      <c r="M84" s="86"/>
      <c r="N84" s="106" t="e">
        <f t="shared" ref="N84:N115" ca="1" si="13">O84+P84</f>
        <v>#REF!</v>
      </c>
      <c r="O84" s="87" t="e">
        <f t="shared" ref="O84:O115" ca="1" si="14">INDIRECT("'[summary.xls]"&amp;L84&amp;"'!$F$99")</f>
        <v>#REF!</v>
      </c>
      <c r="P84" s="88" t="e">
        <f t="shared" ref="P84:P115" ca="1" si="15">INDIRECT("'[summary.xls]"&amp;L84&amp;"'!$F$172")</f>
        <v>#REF!</v>
      </c>
      <c r="Q84" s="89" t="e">
        <f t="shared" ref="Q84:Q115" ca="1" si="16">INDIRECT("'[summary.xls]"&amp;L84&amp;"'!$L$1")</f>
        <v>#REF!</v>
      </c>
      <c r="R84" s="111" t="e">
        <f t="shared" ref="R84:R115" ca="1" si="17">INDIRECT("'[summary.xls]"&amp;L84&amp;"'!$F$218")</f>
        <v>#REF!</v>
      </c>
      <c r="S84" s="81"/>
      <c r="T84" s="82" t="str">
        <f>VLOOKUP(L84,[1]Upcoming!$A$5:$I$185,2,FALSE)</f>
        <v/>
      </c>
      <c r="U84" s="83" t="str">
        <f>VLOOKUP(L84,[1]Upcoming!$A$5:$I$185,3,FALSE)</f>
        <v/>
      </c>
      <c r="V84" s="84"/>
      <c r="W84" s="82" t="e">
        <f>IF(ISBLANK(VLOOKUP(I84,[1]Upcoming!$A$5:$I$185,4,FALSE)),"",VLOOKUP(I84,[1]Upcoming!$A$5:$I$185,4,FALSE))</f>
        <v>#N/A</v>
      </c>
      <c r="X84" s="83" t="e">
        <f>IF(ISBLANK(VLOOKUP(I84,[1]Upcoming!$A$5:$I$185,5,FALSE)),"",VLOOKUP(I84,[1]Upcoming!$A$5:$I$185,5,FALSE))</f>
        <v>#N/A</v>
      </c>
      <c r="Y84" s="84"/>
      <c r="Z84" s="82" t="str">
        <f>IF(ISBLANK(VLOOKUP(L84,[1]Upcoming!$A$5:$I$185,6,FALSE)),"",VLOOKUP(L84,[1]Upcoming!$A$5:$I$185,6,FALSE))</f>
        <v/>
      </c>
      <c r="AA84" s="83" t="str">
        <f>IF(ISBLANK(VLOOKUP(L84,[1]Upcoming!$A$5:$I$185,7,FALSE)),"",VLOOKUP(L84,[1]Upcoming!$A$5:$I$185,7,FALSE))</f>
        <v/>
      </c>
      <c r="AB84" s="84"/>
      <c r="AC84" s="82" t="str">
        <f>IF(ISBLANK(VLOOKUP(L84,[1]Upcoming!$A$5:$I$185,8,FALSE)),"",VLOOKUP(L84,[1]Upcoming!$A$5:$I$185,8,FALSE))</f>
        <v/>
      </c>
      <c r="AD84" s="83" t="str">
        <f>IF(ISBLANK(VLOOKUP(L84,[1]Upcoming!$A$5:$I$185,9,FALSE)),"",VLOOKUP(L84,[1]Upcoming!$A$5:$I$185,9,FALSE))</f>
        <v/>
      </c>
      <c r="AE84" s="20"/>
      <c r="AF84" s="20"/>
      <c r="AG84" s="20"/>
      <c r="AH84" s="2"/>
      <c r="AI84" s="2"/>
      <c r="AJ84" s="2"/>
      <c r="AK84" s="2"/>
    </row>
    <row r="85" spans="1:37" ht="25.5" customHeight="1" thickBot="1" x14ac:dyDescent="0.3">
      <c r="A85" s="1"/>
      <c r="B85" s="2"/>
      <c r="C85" s="2"/>
      <c r="D85" s="2"/>
      <c r="E85" s="2"/>
      <c r="F85" s="2"/>
      <c r="G85" s="2"/>
      <c r="H85" s="2"/>
      <c r="I85" s="2"/>
      <c r="J85" s="2"/>
      <c r="K85" s="74" t="e">
        <f t="shared" ca="1" si="12"/>
        <v>#REF!</v>
      </c>
      <c r="L85" s="97" t="s">
        <v>329</v>
      </c>
      <c r="M85" s="86"/>
      <c r="N85" s="106" t="e">
        <f t="shared" ca="1" si="13"/>
        <v>#REF!</v>
      </c>
      <c r="O85" s="87" t="e">
        <f t="shared" ca="1" si="14"/>
        <v>#REF!</v>
      </c>
      <c r="P85" s="88" t="e">
        <f t="shared" ca="1" si="15"/>
        <v>#REF!</v>
      </c>
      <c r="Q85" s="89" t="e">
        <f t="shared" ca="1" si="16"/>
        <v>#REF!</v>
      </c>
      <c r="R85" s="90" t="e">
        <f t="shared" ca="1" si="17"/>
        <v>#REF!</v>
      </c>
      <c r="S85" s="81"/>
      <c r="T85" s="82" t="str">
        <f>VLOOKUP(L85,[1]Upcoming!$A$5:$I$185,2,FALSE)</f>
        <v/>
      </c>
      <c r="U85" s="83" t="str">
        <f>VLOOKUP(L85,[1]Upcoming!$A$5:$I$185,3,FALSE)</f>
        <v/>
      </c>
      <c r="V85" s="84"/>
      <c r="W85" s="82" t="e">
        <f>IF(ISBLANK(VLOOKUP(I85,[1]Upcoming!$A$5:$I$185,4,FALSE)),"",VLOOKUP(I85,[1]Upcoming!$A$5:$I$185,4,FALSE))</f>
        <v>#N/A</v>
      </c>
      <c r="X85" s="83" t="e">
        <f>IF(ISBLANK(VLOOKUP(I85,[1]Upcoming!$A$5:$I$185,5,FALSE)),"",VLOOKUP(I85,[1]Upcoming!$A$5:$I$185,5,FALSE))</f>
        <v>#N/A</v>
      </c>
      <c r="Y85" s="84"/>
      <c r="Z85" s="82" t="str">
        <f>IF(ISBLANK(VLOOKUP(L85,[1]Upcoming!$A$5:$I$185,6,FALSE)),"",VLOOKUP(L85,[1]Upcoming!$A$5:$I$185,6,FALSE))</f>
        <v/>
      </c>
      <c r="AA85" s="83" t="str">
        <f>IF(ISBLANK(VLOOKUP(L85,[1]Upcoming!$A$5:$I$185,7,FALSE)),"",VLOOKUP(L85,[1]Upcoming!$A$5:$I$185,7,FALSE))</f>
        <v/>
      </c>
      <c r="AB85" s="84"/>
      <c r="AC85" s="82" t="str">
        <f>IF(ISBLANK(VLOOKUP(L85,[1]Upcoming!$A$5:$I$185,8,FALSE)),"",VLOOKUP(L85,[1]Upcoming!$A$5:$I$185,8,FALSE))</f>
        <v/>
      </c>
      <c r="AD85" s="83" t="str">
        <f>IF(ISBLANK(VLOOKUP(L85,[1]Upcoming!$A$5:$I$185,9,FALSE)),"",VLOOKUP(L85,[1]Upcoming!$A$5:$I$185,9,FALSE))</f>
        <v/>
      </c>
      <c r="AE85" s="20"/>
      <c r="AF85" s="20"/>
      <c r="AG85" s="20"/>
      <c r="AH85" s="2"/>
      <c r="AI85" s="2"/>
      <c r="AJ85" s="2"/>
      <c r="AK85" s="2"/>
    </row>
    <row r="86" spans="1:37" ht="25.5" customHeight="1" thickBot="1" x14ac:dyDescent="0.3">
      <c r="A86" s="1"/>
      <c r="B86" s="2"/>
      <c r="C86" s="2"/>
      <c r="D86" s="2"/>
      <c r="E86" s="2"/>
      <c r="F86" s="2"/>
      <c r="G86" s="2"/>
      <c r="H86" s="2"/>
      <c r="I86" s="2"/>
      <c r="J86" s="2"/>
      <c r="K86" s="74" t="e">
        <f t="shared" ca="1" si="12"/>
        <v>#REF!</v>
      </c>
      <c r="L86" s="97" t="s">
        <v>42</v>
      </c>
      <c r="M86" s="86"/>
      <c r="N86" s="106" t="e">
        <f t="shared" ca="1" si="13"/>
        <v>#REF!</v>
      </c>
      <c r="O86" s="87" t="e">
        <f t="shared" ca="1" si="14"/>
        <v>#REF!</v>
      </c>
      <c r="P86" s="88" t="e">
        <f t="shared" ca="1" si="15"/>
        <v>#REF!</v>
      </c>
      <c r="Q86" s="89" t="e">
        <f t="shared" ca="1" si="16"/>
        <v>#REF!</v>
      </c>
      <c r="R86" s="90" t="e">
        <f t="shared" ca="1" si="17"/>
        <v>#REF!</v>
      </c>
      <c r="S86" s="81"/>
      <c r="T86" s="82" t="str">
        <f>VLOOKUP(L86,[1]Upcoming!$A$5:$I$185,2,FALSE)</f>
        <v/>
      </c>
      <c r="U86" s="83" t="str">
        <f>VLOOKUP(L86,[1]Upcoming!$A$5:$I$185,3,FALSE)</f>
        <v/>
      </c>
      <c r="V86" s="84"/>
      <c r="W86" s="82" t="e">
        <f>IF(ISBLANK(VLOOKUP(I86,[1]Upcoming!$A$5:$I$185,4,FALSE)),"",VLOOKUP(I86,[1]Upcoming!$A$5:$I$185,4,FALSE))</f>
        <v>#N/A</v>
      </c>
      <c r="X86" s="83" t="e">
        <f>IF(ISBLANK(VLOOKUP(I86,[1]Upcoming!$A$5:$I$185,5,FALSE)),"",VLOOKUP(I86,[1]Upcoming!$A$5:$I$185,5,FALSE))</f>
        <v>#N/A</v>
      </c>
      <c r="Y86" s="84"/>
      <c r="Z86" s="82" t="str">
        <f>IF(ISBLANK(VLOOKUP(L86,[1]Upcoming!$A$5:$I$185,6,FALSE)),"",VLOOKUP(L86,[1]Upcoming!$A$5:$I$185,6,FALSE))</f>
        <v/>
      </c>
      <c r="AA86" s="83" t="str">
        <f>IF(ISBLANK(VLOOKUP(L86,[1]Upcoming!$A$5:$I$185,7,FALSE)),"",VLOOKUP(L86,[1]Upcoming!$A$5:$I$185,7,FALSE))</f>
        <v/>
      </c>
      <c r="AB86" s="84"/>
      <c r="AC86" s="82" t="str">
        <f>IF(ISBLANK(VLOOKUP(L86,[1]Upcoming!$A$5:$I$185,8,FALSE)),"",VLOOKUP(L86,[1]Upcoming!$A$5:$I$185,8,FALSE))</f>
        <v/>
      </c>
      <c r="AD86" s="83" t="str">
        <f>IF(ISBLANK(VLOOKUP(L86,[1]Upcoming!$A$5:$I$185,9,FALSE)),"",VLOOKUP(L86,[1]Upcoming!$A$5:$I$185,9,FALSE))</f>
        <v/>
      </c>
      <c r="AE86" s="20"/>
      <c r="AF86" s="20"/>
      <c r="AG86" s="20"/>
      <c r="AH86" s="2"/>
      <c r="AI86" s="2"/>
      <c r="AJ86" s="2"/>
      <c r="AK86" s="2"/>
    </row>
    <row r="87" spans="1:37" ht="25.5" customHeight="1" thickBot="1" x14ac:dyDescent="0.3">
      <c r="A87" s="1"/>
      <c r="B87" s="2"/>
      <c r="C87" s="2"/>
      <c r="D87" s="2"/>
      <c r="E87" s="2"/>
      <c r="F87" s="2"/>
      <c r="G87" s="2"/>
      <c r="H87" s="2"/>
      <c r="I87" s="2"/>
      <c r="J87" s="2"/>
      <c r="K87" s="74" t="e">
        <f t="shared" ca="1" si="12"/>
        <v>#REF!</v>
      </c>
      <c r="L87" s="97" t="s">
        <v>272</v>
      </c>
      <c r="M87" s="86"/>
      <c r="N87" s="106" t="e">
        <f t="shared" ca="1" si="13"/>
        <v>#REF!</v>
      </c>
      <c r="O87" s="87" t="e">
        <f t="shared" ca="1" si="14"/>
        <v>#REF!</v>
      </c>
      <c r="P87" s="88" t="e">
        <f t="shared" ca="1" si="15"/>
        <v>#REF!</v>
      </c>
      <c r="Q87" s="89" t="e">
        <f t="shared" ca="1" si="16"/>
        <v>#REF!</v>
      </c>
      <c r="R87" s="90" t="e">
        <f t="shared" ca="1" si="17"/>
        <v>#REF!</v>
      </c>
      <c r="S87" s="81"/>
      <c r="T87" s="82" t="str">
        <f>VLOOKUP(L87,[1]Upcoming!$A$5:$I$185,2,FALSE)</f>
        <v/>
      </c>
      <c r="U87" s="83" t="str">
        <f>VLOOKUP(L87,[1]Upcoming!$A$5:$I$185,3,FALSE)</f>
        <v/>
      </c>
      <c r="V87" s="84"/>
      <c r="W87" s="82" t="e">
        <f>IF(ISBLANK(VLOOKUP(I87,[1]Upcoming!$A$5:$I$185,4,FALSE)),"",VLOOKUP(I87,[1]Upcoming!$A$5:$I$185,4,FALSE))</f>
        <v>#N/A</v>
      </c>
      <c r="X87" s="83" t="e">
        <f>IF(ISBLANK(VLOOKUP(I87,[1]Upcoming!$A$5:$I$185,5,FALSE)),"",VLOOKUP(I87,[1]Upcoming!$A$5:$I$185,5,FALSE))</f>
        <v>#N/A</v>
      </c>
      <c r="Y87" s="84"/>
      <c r="Z87" s="82" t="str">
        <f>IF(ISBLANK(VLOOKUP(L87,[1]Upcoming!$A$5:$I$185,6,FALSE)),"",VLOOKUP(L87,[1]Upcoming!$A$5:$I$185,6,FALSE))</f>
        <v/>
      </c>
      <c r="AA87" s="83" t="str">
        <f>IF(ISBLANK(VLOOKUP(L87,[1]Upcoming!$A$5:$I$185,7,FALSE)),"",VLOOKUP(L87,[1]Upcoming!$A$5:$I$185,7,FALSE))</f>
        <v/>
      </c>
      <c r="AB87" s="84"/>
      <c r="AC87" s="82" t="str">
        <f>IF(ISBLANK(VLOOKUP(L87,[1]Upcoming!$A$5:$I$185,8,FALSE)),"",VLOOKUP(L87,[1]Upcoming!$A$5:$I$185,8,FALSE))</f>
        <v/>
      </c>
      <c r="AD87" s="83" t="str">
        <f>IF(ISBLANK(VLOOKUP(L87,[1]Upcoming!$A$5:$I$185,9,FALSE)),"",VLOOKUP(L87,[1]Upcoming!$A$5:$I$185,9,FALSE))</f>
        <v/>
      </c>
      <c r="AE87" s="20"/>
      <c r="AF87" s="20"/>
      <c r="AG87" s="20"/>
      <c r="AH87" s="2"/>
      <c r="AI87" s="2"/>
      <c r="AJ87" s="2"/>
      <c r="AK87" s="2"/>
    </row>
    <row r="88" spans="1:37" ht="25.5" customHeight="1" thickBot="1" x14ac:dyDescent="0.3">
      <c r="A88" s="1"/>
      <c r="B88" s="2"/>
      <c r="C88" s="2"/>
      <c r="D88" s="2"/>
      <c r="E88" s="2"/>
      <c r="F88" s="2"/>
      <c r="G88" s="2"/>
      <c r="H88" s="2"/>
      <c r="I88" s="2"/>
      <c r="J88" s="2"/>
      <c r="K88" s="74" t="e">
        <f t="shared" ca="1" si="12"/>
        <v>#REF!</v>
      </c>
      <c r="L88" s="97" t="s">
        <v>362</v>
      </c>
      <c r="M88" s="86"/>
      <c r="N88" s="106" t="e">
        <f t="shared" ca="1" si="13"/>
        <v>#REF!</v>
      </c>
      <c r="O88" s="87" t="e">
        <f t="shared" ca="1" si="14"/>
        <v>#REF!</v>
      </c>
      <c r="P88" s="88" t="e">
        <f t="shared" ca="1" si="15"/>
        <v>#REF!</v>
      </c>
      <c r="Q88" s="89" t="e">
        <f t="shared" ca="1" si="16"/>
        <v>#REF!</v>
      </c>
      <c r="R88" s="90" t="e">
        <f t="shared" ca="1" si="17"/>
        <v>#REF!</v>
      </c>
      <c r="S88" s="81"/>
      <c r="T88" s="82" t="str">
        <f>VLOOKUP(L88,[1]Upcoming!$A$5:$I$185,2,FALSE)</f>
        <v/>
      </c>
      <c r="U88" s="83" t="str">
        <f>VLOOKUP(L88,[1]Upcoming!$A$5:$I$185,3,FALSE)</f>
        <v/>
      </c>
      <c r="V88" s="84"/>
      <c r="W88" s="82" t="e">
        <f>IF(ISBLANK(VLOOKUP(I88,[1]Upcoming!$A$5:$I$185,4,FALSE)),"",VLOOKUP(I88,[1]Upcoming!$A$5:$I$185,4,FALSE))</f>
        <v>#N/A</v>
      </c>
      <c r="X88" s="83" t="e">
        <f>IF(ISBLANK(VLOOKUP(I88,[1]Upcoming!$A$5:$I$185,5,FALSE)),"",VLOOKUP(I88,[1]Upcoming!$A$5:$I$185,5,FALSE))</f>
        <v>#N/A</v>
      </c>
      <c r="Y88" s="84"/>
      <c r="Z88" s="82" t="str">
        <f>IF(ISBLANK(VLOOKUP(L88,[1]Upcoming!$A$5:$I$185,6,FALSE)),"",VLOOKUP(L88,[1]Upcoming!$A$5:$I$185,6,FALSE))</f>
        <v/>
      </c>
      <c r="AA88" s="83" t="str">
        <f>IF(ISBLANK(VLOOKUP(L88,[1]Upcoming!$A$5:$I$185,7,FALSE)),"",VLOOKUP(L88,[1]Upcoming!$A$5:$I$185,7,FALSE))</f>
        <v/>
      </c>
      <c r="AB88" s="84"/>
      <c r="AC88" s="82" t="str">
        <f>IF(ISBLANK(VLOOKUP(L88,[1]Upcoming!$A$5:$I$185,8,FALSE)),"",VLOOKUP(L88,[1]Upcoming!$A$5:$I$185,8,FALSE))</f>
        <v/>
      </c>
      <c r="AD88" s="83" t="str">
        <f>IF(ISBLANK(VLOOKUP(L88,[1]Upcoming!$A$5:$I$185,9,FALSE)),"",VLOOKUP(L88,[1]Upcoming!$A$5:$I$185,9,FALSE))</f>
        <v/>
      </c>
      <c r="AE88" s="20"/>
      <c r="AF88" s="20"/>
      <c r="AG88" s="20"/>
      <c r="AH88" s="2"/>
      <c r="AI88" s="2"/>
      <c r="AJ88" s="2"/>
      <c r="AK88" s="2"/>
    </row>
    <row r="89" spans="1:37" ht="25.5" customHeight="1" thickBot="1" x14ac:dyDescent="0.3">
      <c r="A89" s="1"/>
      <c r="B89" s="2"/>
      <c r="C89" s="2"/>
      <c r="D89" s="2"/>
      <c r="E89" s="2"/>
      <c r="F89" s="2"/>
      <c r="G89" s="2"/>
      <c r="H89" s="2"/>
      <c r="I89" s="2"/>
      <c r="J89" s="2"/>
      <c r="K89" s="74" t="e">
        <f t="shared" ca="1" si="12"/>
        <v>#REF!</v>
      </c>
      <c r="L89" s="97" t="s">
        <v>252</v>
      </c>
      <c r="M89" s="86"/>
      <c r="N89" s="106" t="e">
        <f t="shared" ca="1" si="13"/>
        <v>#REF!</v>
      </c>
      <c r="O89" s="87" t="e">
        <f t="shared" ca="1" si="14"/>
        <v>#REF!</v>
      </c>
      <c r="P89" s="88" t="e">
        <f t="shared" ca="1" si="15"/>
        <v>#REF!</v>
      </c>
      <c r="Q89" s="89" t="e">
        <f t="shared" ca="1" si="16"/>
        <v>#REF!</v>
      </c>
      <c r="R89" s="90" t="e">
        <f t="shared" ca="1" si="17"/>
        <v>#REF!</v>
      </c>
      <c r="S89" s="81"/>
      <c r="T89" s="82" t="str">
        <f>VLOOKUP(L89,[1]Upcoming!$A$5:$I$185,2,FALSE)</f>
        <v/>
      </c>
      <c r="U89" s="83" t="str">
        <f>VLOOKUP(L89,[1]Upcoming!$A$5:$I$185,3,FALSE)</f>
        <v/>
      </c>
      <c r="V89" s="84"/>
      <c r="W89" s="82" t="e">
        <f>IF(ISBLANK(VLOOKUP(I89,[1]Upcoming!$A$5:$I$185,4,FALSE)),"",VLOOKUP(I89,[1]Upcoming!$A$5:$I$185,4,FALSE))</f>
        <v>#N/A</v>
      </c>
      <c r="X89" s="83" t="e">
        <f>IF(ISBLANK(VLOOKUP(I89,[1]Upcoming!$A$5:$I$185,5,FALSE)),"",VLOOKUP(I89,[1]Upcoming!$A$5:$I$185,5,FALSE))</f>
        <v>#N/A</v>
      </c>
      <c r="Y89" s="84"/>
      <c r="Z89" s="82" t="str">
        <f>IF(ISBLANK(VLOOKUP(L89,[1]Upcoming!$A$5:$I$185,6,FALSE)),"",VLOOKUP(L89,[1]Upcoming!$A$5:$I$185,6,FALSE))</f>
        <v/>
      </c>
      <c r="AA89" s="83" t="str">
        <f>IF(ISBLANK(VLOOKUP(L89,[1]Upcoming!$A$5:$I$185,7,FALSE)),"",VLOOKUP(L89,[1]Upcoming!$A$5:$I$185,7,FALSE))</f>
        <v/>
      </c>
      <c r="AB89" s="84"/>
      <c r="AC89" s="82" t="str">
        <f>IF(ISBLANK(VLOOKUP(L89,[1]Upcoming!$A$5:$I$185,8,FALSE)),"",VLOOKUP(L89,[1]Upcoming!$A$5:$I$185,8,FALSE))</f>
        <v/>
      </c>
      <c r="AD89" s="83" t="str">
        <f>IF(ISBLANK(VLOOKUP(L89,[1]Upcoming!$A$5:$I$185,9,FALSE)),"",VLOOKUP(L89,[1]Upcoming!$A$5:$I$185,9,FALSE))</f>
        <v/>
      </c>
      <c r="AE89" s="20"/>
      <c r="AF89" s="20"/>
      <c r="AG89" s="20"/>
      <c r="AH89" s="2"/>
      <c r="AI89" s="2"/>
      <c r="AJ89" s="2"/>
      <c r="AK89" s="2"/>
    </row>
    <row r="90" spans="1:37" ht="25.5" customHeight="1" thickBot="1" x14ac:dyDescent="0.3">
      <c r="A90" s="1"/>
      <c r="B90" s="2"/>
      <c r="C90" s="2"/>
      <c r="D90" s="2"/>
      <c r="E90" s="2"/>
      <c r="F90" s="2"/>
      <c r="G90" s="2"/>
      <c r="H90" s="2"/>
      <c r="I90" s="2"/>
      <c r="J90" s="2"/>
      <c r="K90" s="74" t="e">
        <f t="shared" ca="1" si="12"/>
        <v>#REF!</v>
      </c>
      <c r="L90" s="97" t="s">
        <v>344</v>
      </c>
      <c r="M90" s="86"/>
      <c r="N90" s="106" t="e">
        <f t="shared" ca="1" si="13"/>
        <v>#REF!</v>
      </c>
      <c r="O90" s="87" t="e">
        <f t="shared" ca="1" si="14"/>
        <v>#REF!</v>
      </c>
      <c r="P90" s="88" t="e">
        <f t="shared" ca="1" si="15"/>
        <v>#REF!</v>
      </c>
      <c r="Q90" s="89" t="e">
        <f t="shared" ca="1" si="16"/>
        <v>#REF!</v>
      </c>
      <c r="R90" s="90" t="e">
        <f t="shared" ca="1" si="17"/>
        <v>#REF!</v>
      </c>
      <c r="S90" s="81"/>
      <c r="T90" s="82" t="str">
        <f>VLOOKUP(L90,[1]Upcoming!$A$5:$I$185,2,FALSE)</f>
        <v/>
      </c>
      <c r="U90" s="83" t="str">
        <f>VLOOKUP(L90,[1]Upcoming!$A$5:$I$185,3,FALSE)</f>
        <v/>
      </c>
      <c r="V90" s="84"/>
      <c r="W90" s="82" t="e">
        <f>IF(ISBLANK(VLOOKUP(I90,[1]Upcoming!$A$5:$I$185,4,FALSE)),"",VLOOKUP(I90,[1]Upcoming!$A$5:$I$185,4,FALSE))</f>
        <v>#N/A</v>
      </c>
      <c r="X90" s="83" t="e">
        <f>IF(ISBLANK(VLOOKUP(I90,[1]Upcoming!$A$5:$I$185,5,FALSE)),"",VLOOKUP(I90,[1]Upcoming!$A$5:$I$185,5,FALSE))</f>
        <v>#N/A</v>
      </c>
      <c r="Y90" s="84"/>
      <c r="Z90" s="82" t="str">
        <f>IF(ISBLANK(VLOOKUP(L90,[1]Upcoming!$A$5:$I$185,6,FALSE)),"",VLOOKUP(L90,[1]Upcoming!$A$5:$I$185,6,FALSE))</f>
        <v/>
      </c>
      <c r="AA90" s="83" t="str">
        <f>IF(ISBLANK(VLOOKUP(L90,[1]Upcoming!$A$5:$I$185,7,FALSE)),"",VLOOKUP(L90,[1]Upcoming!$A$5:$I$185,7,FALSE))</f>
        <v/>
      </c>
      <c r="AB90" s="84"/>
      <c r="AC90" s="82" t="str">
        <f>IF(ISBLANK(VLOOKUP(L90,[1]Upcoming!$A$5:$I$185,8,FALSE)),"",VLOOKUP(L90,[1]Upcoming!$A$5:$I$185,8,FALSE))</f>
        <v/>
      </c>
      <c r="AD90" s="83" t="str">
        <f>IF(ISBLANK(VLOOKUP(L90,[1]Upcoming!$A$5:$I$185,9,FALSE)),"",VLOOKUP(L90,[1]Upcoming!$A$5:$I$185,9,FALSE))</f>
        <v/>
      </c>
      <c r="AE90" s="20"/>
      <c r="AF90" s="20"/>
      <c r="AG90" s="20"/>
      <c r="AH90" s="2"/>
      <c r="AI90" s="2"/>
      <c r="AJ90" s="2"/>
      <c r="AK90" s="2"/>
    </row>
    <row r="91" spans="1:37" ht="25.5" customHeight="1" thickBot="1" x14ac:dyDescent="0.3">
      <c r="A91" s="1"/>
      <c r="B91" s="2"/>
      <c r="C91" s="2"/>
      <c r="D91" s="2"/>
      <c r="E91" s="2"/>
      <c r="F91" s="2"/>
      <c r="G91" s="2"/>
      <c r="H91" s="2"/>
      <c r="I91" s="2"/>
      <c r="J91" s="2"/>
      <c r="K91" s="74" t="e">
        <f t="shared" ca="1" si="12"/>
        <v>#REF!</v>
      </c>
      <c r="L91" s="97" t="s">
        <v>56</v>
      </c>
      <c r="M91" s="86"/>
      <c r="N91" s="106" t="e">
        <f t="shared" ca="1" si="13"/>
        <v>#REF!</v>
      </c>
      <c r="O91" s="87" t="e">
        <f t="shared" ca="1" si="14"/>
        <v>#REF!</v>
      </c>
      <c r="P91" s="88" t="e">
        <f t="shared" ca="1" si="15"/>
        <v>#REF!</v>
      </c>
      <c r="Q91" s="89" t="e">
        <f t="shared" ca="1" si="16"/>
        <v>#REF!</v>
      </c>
      <c r="R91" s="90" t="e">
        <f t="shared" ca="1" si="17"/>
        <v>#REF!</v>
      </c>
      <c r="S91" s="81"/>
      <c r="T91" s="82" t="str">
        <f>VLOOKUP(L91,[1]Upcoming!$A$5:$I$185,2,FALSE)</f>
        <v/>
      </c>
      <c r="U91" s="83" t="str">
        <f>VLOOKUP(L91,[1]Upcoming!$A$5:$I$185,3,FALSE)</f>
        <v/>
      </c>
      <c r="V91" s="84"/>
      <c r="W91" s="82" t="e">
        <f>IF(ISBLANK(VLOOKUP(I91,[1]Upcoming!$A$5:$I$185,4,FALSE)),"",VLOOKUP(I91,[1]Upcoming!$A$5:$I$185,4,FALSE))</f>
        <v>#N/A</v>
      </c>
      <c r="X91" s="83" t="e">
        <f>IF(ISBLANK(VLOOKUP(I91,[1]Upcoming!$A$5:$I$185,5,FALSE)),"",VLOOKUP(I91,[1]Upcoming!$A$5:$I$185,5,FALSE))</f>
        <v>#N/A</v>
      </c>
      <c r="Y91" s="84"/>
      <c r="Z91" s="82" t="str">
        <f>IF(ISBLANK(VLOOKUP(L91,[1]Upcoming!$A$5:$I$185,6,FALSE)),"",VLOOKUP(L91,[1]Upcoming!$A$5:$I$185,6,FALSE))</f>
        <v/>
      </c>
      <c r="AA91" s="83" t="str">
        <f>IF(ISBLANK(VLOOKUP(L91,[1]Upcoming!$A$5:$I$185,7,FALSE)),"",VLOOKUP(L91,[1]Upcoming!$A$5:$I$185,7,FALSE))</f>
        <v/>
      </c>
      <c r="AB91" s="84"/>
      <c r="AC91" s="82" t="str">
        <f>IF(ISBLANK(VLOOKUP(L91,[1]Upcoming!$A$5:$I$185,8,FALSE)),"",VLOOKUP(L91,[1]Upcoming!$A$5:$I$185,8,FALSE))</f>
        <v/>
      </c>
      <c r="AD91" s="83" t="str">
        <f>IF(ISBLANK(VLOOKUP(L91,[1]Upcoming!$A$5:$I$185,9,FALSE)),"",VLOOKUP(L91,[1]Upcoming!$A$5:$I$185,9,FALSE))</f>
        <v/>
      </c>
      <c r="AE91" s="20"/>
      <c r="AF91" s="20"/>
      <c r="AG91" s="20"/>
      <c r="AH91" s="2"/>
      <c r="AI91" s="2"/>
      <c r="AJ91" s="2"/>
      <c r="AK91" s="2"/>
    </row>
    <row r="92" spans="1:37" ht="25.5" customHeight="1" thickBot="1" x14ac:dyDescent="0.3">
      <c r="A92" s="1"/>
      <c r="B92" s="2"/>
      <c r="C92" s="2"/>
      <c r="D92" s="2"/>
      <c r="E92" s="2"/>
      <c r="F92" s="2"/>
      <c r="G92" s="2"/>
      <c r="H92" s="2"/>
      <c r="I92" s="2"/>
      <c r="J92" s="2"/>
      <c r="K92" s="74" t="e">
        <f t="shared" ca="1" si="12"/>
        <v>#REF!</v>
      </c>
      <c r="L92" s="97" t="s">
        <v>71</v>
      </c>
      <c r="M92" s="86"/>
      <c r="N92" s="106" t="e">
        <f t="shared" ca="1" si="13"/>
        <v>#REF!</v>
      </c>
      <c r="O92" s="87" t="e">
        <f t="shared" ca="1" si="14"/>
        <v>#REF!</v>
      </c>
      <c r="P92" s="88" t="e">
        <f t="shared" ca="1" si="15"/>
        <v>#REF!</v>
      </c>
      <c r="Q92" s="89" t="e">
        <f t="shared" ca="1" si="16"/>
        <v>#REF!</v>
      </c>
      <c r="R92" s="90" t="e">
        <f t="shared" ca="1" si="17"/>
        <v>#REF!</v>
      </c>
      <c r="S92" s="81"/>
      <c r="T92" s="82" t="str">
        <f>VLOOKUP(L92,[1]Upcoming!$A$5:$I$185,2,FALSE)</f>
        <v/>
      </c>
      <c r="U92" s="83" t="str">
        <f>VLOOKUP(L92,[1]Upcoming!$A$5:$I$185,3,FALSE)</f>
        <v/>
      </c>
      <c r="V92" s="84"/>
      <c r="W92" s="82" t="e">
        <f>IF(ISBLANK(VLOOKUP(I92,[1]Upcoming!$A$5:$I$185,4,FALSE)),"",VLOOKUP(I92,[1]Upcoming!$A$5:$I$185,4,FALSE))</f>
        <v>#N/A</v>
      </c>
      <c r="X92" s="83" t="e">
        <f>IF(ISBLANK(VLOOKUP(I92,[1]Upcoming!$A$5:$I$185,5,FALSE)),"",VLOOKUP(I92,[1]Upcoming!$A$5:$I$185,5,FALSE))</f>
        <v>#N/A</v>
      </c>
      <c r="Y92" s="84"/>
      <c r="Z92" s="82" t="str">
        <f>IF(ISBLANK(VLOOKUP(L92,[1]Upcoming!$A$5:$I$185,6,FALSE)),"",VLOOKUP(L92,[1]Upcoming!$A$5:$I$185,6,FALSE))</f>
        <v/>
      </c>
      <c r="AA92" s="83" t="str">
        <f>IF(ISBLANK(VLOOKUP(L92,[1]Upcoming!$A$5:$I$185,7,FALSE)),"",VLOOKUP(L92,[1]Upcoming!$A$5:$I$185,7,FALSE))</f>
        <v/>
      </c>
      <c r="AB92" s="84"/>
      <c r="AC92" s="82" t="str">
        <f>IF(ISBLANK(VLOOKUP(L92,[1]Upcoming!$A$5:$I$185,8,FALSE)),"",VLOOKUP(L92,[1]Upcoming!$A$5:$I$185,8,FALSE))</f>
        <v/>
      </c>
      <c r="AD92" s="83" t="str">
        <f>IF(ISBLANK(VLOOKUP(L92,[1]Upcoming!$A$5:$I$185,9,FALSE)),"",VLOOKUP(L92,[1]Upcoming!$A$5:$I$185,9,FALSE))</f>
        <v/>
      </c>
      <c r="AE92" s="20"/>
      <c r="AF92" s="20"/>
      <c r="AG92" s="20"/>
      <c r="AH92" s="2"/>
      <c r="AI92" s="2"/>
      <c r="AJ92" s="2"/>
      <c r="AK92" s="2"/>
    </row>
    <row r="93" spans="1:37" ht="25.5" customHeight="1" thickBot="1" x14ac:dyDescent="0.3">
      <c r="A93" s="1"/>
      <c r="B93" s="2"/>
      <c r="C93" s="2"/>
      <c r="D93" s="2"/>
      <c r="E93" s="2"/>
      <c r="F93" s="2"/>
      <c r="G93" s="2"/>
      <c r="H93" s="2"/>
      <c r="I93" s="2"/>
      <c r="J93" s="2"/>
      <c r="K93" s="74" t="e">
        <f t="shared" ca="1" si="12"/>
        <v>#REF!</v>
      </c>
      <c r="L93" s="97" t="s">
        <v>65</v>
      </c>
      <c r="M93" s="86"/>
      <c r="N93" s="106" t="e">
        <f t="shared" ca="1" si="13"/>
        <v>#REF!</v>
      </c>
      <c r="O93" s="87" t="e">
        <f t="shared" ca="1" si="14"/>
        <v>#REF!</v>
      </c>
      <c r="P93" s="88" t="e">
        <f t="shared" ca="1" si="15"/>
        <v>#REF!</v>
      </c>
      <c r="Q93" s="89" t="e">
        <f t="shared" ca="1" si="16"/>
        <v>#REF!</v>
      </c>
      <c r="R93" s="90" t="e">
        <f t="shared" ca="1" si="17"/>
        <v>#REF!</v>
      </c>
      <c r="S93" s="81"/>
      <c r="T93" s="82" t="str">
        <f>VLOOKUP(L93,[1]Upcoming!$A$5:$I$185,2,FALSE)</f>
        <v/>
      </c>
      <c r="U93" s="83" t="str">
        <f>VLOOKUP(L93,[1]Upcoming!$A$5:$I$185,3,FALSE)</f>
        <v/>
      </c>
      <c r="V93" s="84"/>
      <c r="W93" s="82" t="e">
        <f>IF(ISBLANK(VLOOKUP(I93,[1]Upcoming!$A$5:$I$185,4,FALSE)),"",VLOOKUP(I93,[1]Upcoming!$A$5:$I$185,4,FALSE))</f>
        <v>#N/A</v>
      </c>
      <c r="X93" s="83" t="e">
        <f>IF(ISBLANK(VLOOKUP(I93,[1]Upcoming!$A$5:$I$185,5,FALSE)),"",VLOOKUP(I93,[1]Upcoming!$A$5:$I$185,5,FALSE))</f>
        <v>#N/A</v>
      </c>
      <c r="Y93" s="84"/>
      <c r="Z93" s="82" t="str">
        <f>IF(ISBLANK(VLOOKUP(L93,[1]Upcoming!$A$5:$I$185,6,FALSE)),"",VLOOKUP(L93,[1]Upcoming!$A$5:$I$185,6,FALSE))</f>
        <v/>
      </c>
      <c r="AA93" s="83" t="str">
        <f>IF(ISBLANK(VLOOKUP(L93,[1]Upcoming!$A$5:$I$185,7,FALSE)),"",VLOOKUP(L93,[1]Upcoming!$A$5:$I$185,7,FALSE))</f>
        <v/>
      </c>
      <c r="AB93" s="84"/>
      <c r="AC93" s="82" t="str">
        <f>IF(ISBLANK(VLOOKUP(L93,[1]Upcoming!$A$5:$I$185,8,FALSE)),"",VLOOKUP(L93,[1]Upcoming!$A$5:$I$185,8,FALSE))</f>
        <v/>
      </c>
      <c r="AD93" s="83" t="str">
        <f>IF(ISBLANK(VLOOKUP(L93,[1]Upcoming!$A$5:$I$185,9,FALSE)),"",VLOOKUP(L93,[1]Upcoming!$A$5:$I$185,9,FALSE))</f>
        <v/>
      </c>
      <c r="AE93" s="2"/>
      <c r="AF93" s="2"/>
      <c r="AG93" s="2"/>
      <c r="AH93" s="2"/>
      <c r="AI93" s="2"/>
      <c r="AJ93" s="2"/>
      <c r="AK93" s="2"/>
    </row>
    <row r="94" spans="1:37" ht="25.5" customHeight="1" thickBot="1" x14ac:dyDescent="0.3">
      <c r="A94" s="1"/>
      <c r="B94" s="2"/>
      <c r="C94" s="2"/>
      <c r="D94" s="2"/>
      <c r="E94" s="2"/>
      <c r="F94" s="2"/>
      <c r="G94" s="2"/>
      <c r="H94" s="16"/>
      <c r="I94" s="1"/>
      <c r="J94" s="1"/>
      <c r="K94" s="74" t="e">
        <f t="shared" ca="1" si="12"/>
        <v>#REF!</v>
      </c>
      <c r="L94" s="97" t="s">
        <v>57</v>
      </c>
      <c r="M94" s="86"/>
      <c r="N94" s="106" t="e">
        <f t="shared" ca="1" si="13"/>
        <v>#REF!</v>
      </c>
      <c r="O94" s="87" t="e">
        <f t="shared" ca="1" si="14"/>
        <v>#REF!</v>
      </c>
      <c r="P94" s="88" t="e">
        <f t="shared" ca="1" si="15"/>
        <v>#REF!</v>
      </c>
      <c r="Q94" s="89" t="e">
        <f t="shared" ca="1" si="16"/>
        <v>#REF!</v>
      </c>
      <c r="R94" s="90" t="e">
        <f t="shared" ca="1" si="17"/>
        <v>#REF!</v>
      </c>
      <c r="S94" s="81"/>
      <c r="T94" s="82" t="str">
        <f>VLOOKUP(L94,[1]Upcoming!$A$5:$I$185,2,FALSE)</f>
        <v/>
      </c>
      <c r="U94" s="83" t="str">
        <f>VLOOKUP(L94,[1]Upcoming!$A$5:$I$185,3,FALSE)</f>
        <v/>
      </c>
      <c r="V94" s="84"/>
      <c r="W94" s="82" t="e">
        <f>IF(ISBLANK(VLOOKUP(I94,[1]Upcoming!$A$5:$I$185,4,FALSE)),"",VLOOKUP(I94,[1]Upcoming!$A$5:$I$185,4,FALSE))</f>
        <v>#N/A</v>
      </c>
      <c r="X94" s="83" t="e">
        <f>IF(ISBLANK(VLOOKUP(I94,[1]Upcoming!$A$5:$I$185,5,FALSE)),"",VLOOKUP(I94,[1]Upcoming!$A$5:$I$185,5,FALSE))</f>
        <v>#N/A</v>
      </c>
      <c r="Y94" s="84"/>
      <c r="Z94" s="82" t="str">
        <f>IF(ISBLANK(VLOOKUP(L94,[1]Upcoming!$A$5:$I$185,6,FALSE)),"",VLOOKUP(L94,[1]Upcoming!$A$5:$I$185,6,FALSE))</f>
        <v/>
      </c>
      <c r="AA94" s="83" t="str">
        <f>IF(ISBLANK(VLOOKUP(L94,[1]Upcoming!$A$5:$I$185,7,FALSE)),"",VLOOKUP(L94,[1]Upcoming!$A$5:$I$185,7,FALSE))</f>
        <v/>
      </c>
      <c r="AB94" s="84"/>
      <c r="AC94" s="82" t="str">
        <f>IF(ISBLANK(VLOOKUP(L94,[1]Upcoming!$A$5:$I$185,8,FALSE)),"",VLOOKUP(L94,[1]Upcoming!$A$5:$I$185,8,FALSE))</f>
        <v/>
      </c>
      <c r="AD94" s="83" t="str">
        <f>IF(ISBLANK(VLOOKUP(L94,[1]Upcoming!$A$5:$I$185,9,FALSE)),"",VLOOKUP(L94,[1]Upcoming!$A$5:$I$185,9,FALSE))</f>
        <v/>
      </c>
      <c r="AE94" s="1"/>
      <c r="AF94" s="1"/>
      <c r="AG94" s="1"/>
      <c r="AH94" s="2"/>
      <c r="AI94" s="2"/>
      <c r="AJ94" s="2"/>
      <c r="AK94" s="2"/>
    </row>
    <row r="95" spans="1:37" ht="25.5" customHeight="1" thickBot="1" x14ac:dyDescent="0.3">
      <c r="A95" s="1"/>
      <c r="B95" s="2"/>
      <c r="C95" s="2"/>
      <c r="D95" s="2"/>
      <c r="E95" s="2"/>
      <c r="F95" s="2"/>
      <c r="G95" s="2"/>
      <c r="H95" s="2"/>
      <c r="I95" s="2"/>
      <c r="J95" s="2"/>
      <c r="K95" s="74" t="e">
        <f t="shared" ca="1" si="12"/>
        <v>#REF!</v>
      </c>
      <c r="L95" s="97" t="s">
        <v>360</v>
      </c>
      <c r="M95" s="86"/>
      <c r="N95" s="106" t="e">
        <f t="shared" ca="1" si="13"/>
        <v>#REF!</v>
      </c>
      <c r="O95" s="87" t="e">
        <f t="shared" ca="1" si="14"/>
        <v>#REF!</v>
      </c>
      <c r="P95" s="88" t="e">
        <f t="shared" ca="1" si="15"/>
        <v>#REF!</v>
      </c>
      <c r="Q95" s="89" t="e">
        <f t="shared" ca="1" si="16"/>
        <v>#REF!</v>
      </c>
      <c r="R95" s="90" t="e">
        <f t="shared" ca="1" si="17"/>
        <v>#REF!</v>
      </c>
      <c r="S95" s="81"/>
      <c r="T95" s="82" t="str">
        <f>VLOOKUP(L95,[1]Upcoming!$A$5:$I$185,2,FALSE)</f>
        <v/>
      </c>
      <c r="U95" s="83" t="str">
        <f>VLOOKUP(L95,[1]Upcoming!$A$5:$I$185,3,FALSE)</f>
        <v/>
      </c>
      <c r="V95" s="84"/>
      <c r="W95" s="82" t="e">
        <f>IF(ISBLANK(VLOOKUP(I95,[1]Upcoming!$A$5:$I$185,4,FALSE)),"",VLOOKUP(I95,[1]Upcoming!$A$5:$I$185,4,FALSE))</f>
        <v>#N/A</v>
      </c>
      <c r="X95" s="83" t="e">
        <f>IF(ISBLANK(VLOOKUP(I95,[1]Upcoming!$A$5:$I$185,5,FALSE)),"",VLOOKUP(I95,[1]Upcoming!$A$5:$I$185,5,FALSE))</f>
        <v>#N/A</v>
      </c>
      <c r="Y95" s="84"/>
      <c r="Z95" s="82" t="str">
        <f>IF(ISBLANK(VLOOKUP(L95,[1]Upcoming!$A$5:$I$185,6,FALSE)),"",VLOOKUP(L95,[1]Upcoming!$A$5:$I$185,6,FALSE))</f>
        <v/>
      </c>
      <c r="AA95" s="83" t="str">
        <f>IF(ISBLANK(VLOOKUP(L95,[1]Upcoming!$A$5:$I$185,7,FALSE)),"",VLOOKUP(L95,[1]Upcoming!$A$5:$I$185,7,FALSE))</f>
        <v/>
      </c>
      <c r="AB95" s="84"/>
      <c r="AC95" s="82" t="str">
        <f>IF(ISBLANK(VLOOKUP(L95,[1]Upcoming!$A$5:$I$185,8,FALSE)),"",VLOOKUP(L95,[1]Upcoming!$A$5:$I$185,8,FALSE))</f>
        <v/>
      </c>
      <c r="AD95" s="83" t="str">
        <f>IF(ISBLANK(VLOOKUP(L95,[1]Upcoming!$A$5:$I$185,9,FALSE)),"",VLOOKUP(L95,[1]Upcoming!$A$5:$I$185,9,FALSE))</f>
        <v/>
      </c>
      <c r="AE95" s="2"/>
      <c r="AF95" s="2"/>
      <c r="AG95" s="2"/>
      <c r="AH95" s="2"/>
      <c r="AI95" s="2"/>
      <c r="AJ95" s="2"/>
      <c r="AK95" s="2"/>
    </row>
    <row r="96" spans="1:37" ht="25.5" customHeight="1" thickBo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74" t="e">
        <f t="shared" ca="1" si="12"/>
        <v>#REF!</v>
      </c>
      <c r="L96" s="97" t="s">
        <v>248</v>
      </c>
      <c r="M96" s="86"/>
      <c r="N96" s="106" t="e">
        <f t="shared" ca="1" si="13"/>
        <v>#REF!</v>
      </c>
      <c r="O96" s="87" t="e">
        <f t="shared" ca="1" si="14"/>
        <v>#REF!</v>
      </c>
      <c r="P96" s="88" t="e">
        <f t="shared" ca="1" si="15"/>
        <v>#REF!</v>
      </c>
      <c r="Q96" s="89" t="e">
        <f t="shared" ca="1" si="16"/>
        <v>#REF!</v>
      </c>
      <c r="R96" s="90" t="e">
        <f t="shared" ca="1" si="17"/>
        <v>#REF!</v>
      </c>
      <c r="S96" s="81"/>
      <c r="T96" s="82" t="str">
        <f>VLOOKUP(L96,[1]Upcoming!$A$5:$I$185,2,FALSE)</f>
        <v/>
      </c>
      <c r="U96" s="83" t="str">
        <f>VLOOKUP(L96,[1]Upcoming!$A$5:$I$185,3,FALSE)</f>
        <v/>
      </c>
      <c r="V96" s="84"/>
      <c r="W96" s="82" t="e">
        <f>IF(ISBLANK(VLOOKUP(I96,[1]Upcoming!$A$5:$I$185,4,FALSE)),"",VLOOKUP(I96,[1]Upcoming!$A$5:$I$185,4,FALSE))</f>
        <v>#N/A</v>
      </c>
      <c r="X96" s="83" t="e">
        <f>IF(ISBLANK(VLOOKUP(I96,[1]Upcoming!$A$5:$I$185,5,FALSE)),"",VLOOKUP(I96,[1]Upcoming!$A$5:$I$185,5,FALSE))</f>
        <v>#N/A</v>
      </c>
      <c r="Y96" s="84"/>
      <c r="Z96" s="82" t="str">
        <f>IF(ISBLANK(VLOOKUP(L96,[1]Upcoming!$A$5:$I$185,6,FALSE)),"",VLOOKUP(L96,[1]Upcoming!$A$5:$I$185,6,FALSE))</f>
        <v/>
      </c>
      <c r="AA96" s="83" t="str">
        <f>IF(ISBLANK(VLOOKUP(L96,[1]Upcoming!$A$5:$I$185,7,FALSE)),"",VLOOKUP(L96,[1]Upcoming!$A$5:$I$185,7,FALSE))</f>
        <v/>
      </c>
      <c r="AB96" s="84"/>
      <c r="AC96" s="82" t="str">
        <f>IF(ISBLANK(VLOOKUP(L96,[1]Upcoming!$A$5:$I$185,8,FALSE)),"",VLOOKUP(L96,[1]Upcoming!$A$5:$I$185,8,FALSE))</f>
        <v/>
      </c>
      <c r="AD96" s="83" t="str">
        <f>IF(ISBLANK(VLOOKUP(L96,[1]Upcoming!$A$5:$I$185,9,FALSE)),"",VLOOKUP(L96,[1]Upcoming!$A$5:$I$185,9,FALSE))</f>
        <v/>
      </c>
      <c r="AE96" s="1"/>
      <c r="AF96" s="1"/>
      <c r="AG96" s="1"/>
      <c r="AH96" s="1"/>
      <c r="AI96" s="1"/>
      <c r="AJ96" s="1"/>
      <c r="AK96" s="1"/>
    </row>
    <row r="97" spans="1:37" ht="25.5" customHeight="1" thickBo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74" t="e">
        <f t="shared" ca="1" si="12"/>
        <v>#REF!</v>
      </c>
      <c r="L97" s="97" t="s">
        <v>44</v>
      </c>
      <c r="M97" s="86"/>
      <c r="N97" s="106" t="e">
        <f t="shared" ca="1" si="13"/>
        <v>#REF!</v>
      </c>
      <c r="O97" s="87" t="e">
        <f t="shared" ca="1" si="14"/>
        <v>#REF!</v>
      </c>
      <c r="P97" s="88" t="e">
        <f t="shared" ca="1" si="15"/>
        <v>#REF!</v>
      </c>
      <c r="Q97" s="89" t="e">
        <f t="shared" ca="1" si="16"/>
        <v>#REF!</v>
      </c>
      <c r="R97" s="90" t="e">
        <f t="shared" ca="1" si="17"/>
        <v>#REF!</v>
      </c>
      <c r="S97" s="81"/>
      <c r="T97" s="82" t="str">
        <f>VLOOKUP(L97,[1]Upcoming!$A$5:$I$185,2,FALSE)</f>
        <v/>
      </c>
      <c r="U97" s="83" t="str">
        <f>VLOOKUP(L97,[1]Upcoming!$A$5:$I$185,3,FALSE)</f>
        <v/>
      </c>
      <c r="V97" s="84"/>
      <c r="W97" s="82" t="e">
        <f>IF(ISBLANK(VLOOKUP(I97,[1]Upcoming!$A$5:$I$185,4,FALSE)),"",VLOOKUP(I97,[1]Upcoming!$A$5:$I$185,4,FALSE))</f>
        <v>#N/A</v>
      </c>
      <c r="X97" s="83" t="e">
        <f>IF(ISBLANK(VLOOKUP(I97,[1]Upcoming!$A$5:$I$185,5,FALSE)),"",VLOOKUP(I97,[1]Upcoming!$A$5:$I$185,5,FALSE))</f>
        <v>#N/A</v>
      </c>
      <c r="Y97" s="84"/>
      <c r="Z97" s="82" t="str">
        <f>IF(ISBLANK(VLOOKUP(L97,[1]Upcoming!$A$5:$I$185,6,FALSE)),"",VLOOKUP(L97,[1]Upcoming!$A$5:$I$185,6,FALSE))</f>
        <v/>
      </c>
      <c r="AA97" s="83" t="str">
        <f>IF(ISBLANK(VLOOKUP(L97,[1]Upcoming!$A$5:$I$185,7,FALSE)),"",VLOOKUP(L97,[1]Upcoming!$A$5:$I$185,7,FALSE))</f>
        <v/>
      </c>
      <c r="AB97" s="84"/>
      <c r="AC97" s="82" t="str">
        <f>IF(ISBLANK(VLOOKUP(L97,[1]Upcoming!$A$5:$I$185,8,FALSE)),"",VLOOKUP(L97,[1]Upcoming!$A$5:$I$185,8,FALSE))</f>
        <v/>
      </c>
      <c r="AD97" s="83" t="str">
        <f>IF(ISBLANK(VLOOKUP(L97,[1]Upcoming!$A$5:$I$185,9,FALSE)),"",VLOOKUP(L97,[1]Upcoming!$A$5:$I$185,9,FALSE))</f>
        <v/>
      </c>
      <c r="AE97" s="1"/>
      <c r="AF97" s="1"/>
      <c r="AG97" s="1"/>
      <c r="AH97" s="1"/>
      <c r="AI97" s="1"/>
      <c r="AJ97" s="1"/>
      <c r="AK97" s="1"/>
    </row>
    <row r="98" spans="1:37" ht="25.5" customHeight="1" thickBot="1" x14ac:dyDescent="0.3">
      <c r="K98" s="74" t="e">
        <f t="shared" ca="1" si="12"/>
        <v>#REF!</v>
      </c>
      <c r="L98" s="97" t="s">
        <v>339</v>
      </c>
      <c r="M98" s="86"/>
      <c r="N98" s="106" t="e">
        <f t="shared" ca="1" si="13"/>
        <v>#REF!</v>
      </c>
      <c r="O98" s="87" t="e">
        <f t="shared" ca="1" si="14"/>
        <v>#REF!</v>
      </c>
      <c r="P98" s="88" t="e">
        <f t="shared" ca="1" si="15"/>
        <v>#REF!</v>
      </c>
      <c r="Q98" s="89" t="e">
        <f t="shared" ca="1" si="16"/>
        <v>#REF!</v>
      </c>
      <c r="R98" s="90" t="e">
        <f t="shared" ca="1" si="17"/>
        <v>#REF!</v>
      </c>
      <c r="S98" s="81"/>
      <c r="T98" s="82" t="str">
        <f>VLOOKUP(L98,[1]Upcoming!$A$5:$I$185,2,FALSE)</f>
        <v/>
      </c>
      <c r="U98" s="83" t="str">
        <f>VLOOKUP(L98,[1]Upcoming!$A$5:$I$185,3,FALSE)</f>
        <v/>
      </c>
      <c r="V98" s="84"/>
      <c r="W98" s="82" t="e">
        <f>IF(ISBLANK(VLOOKUP(I98,[1]Upcoming!$A$5:$I$185,4,FALSE)),"",VLOOKUP(I98,[1]Upcoming!$A$5:$I$185,4,FALSE))</f>
        <v>#N/A</v>
      </c>
      <c r="X98" s="83" t="e">
        <f>IF(ISBLANK(VLOOKUP(I98,[1]Upcoming!$A$5:$I$185,5,FALSE)),"",VLOOKUP(I98,[1]Upcoming!$A$5:$I$185,5,FALSE))</f>
        <v>#N/A</v>
      </c>
      <c r="Y98" s="84"/>
      <c r="Z98" s="82" t="str">
        <f>IF(ISBLANK(VLOOKUP(L98,[1]Upcoming!$A$5:$I$185,6,FALSE)),"",VLOOKUP(L98,[1]Upcoming!$A$5:$I$185,6,FALSE))</f>
        <v/>
      </c>
      <c r="AA98" s="83" t="str">
        <f>IF(ISBLANK(VLOOKUP(L98,[1]Upcoming!$A$5:$I$185,7,FALSE)),"",VLOOKUP(L98,[1]Upcoming!$A$5:$I$185,7,FALSE))</f>
        <v/>
      </c>
      <c r="AB98" s="84"/>
      <c r="AC98" s="82" t="str">
        <f>IF(ISBLANK(VLOOKUP(L98,[1]Upcoming!$A$5:$I$185,8,FALSE)),"",VLOOKUP(L98,[1]Upcoming!$A$5:$I$185,8,FALSE))</f>
        <v/>
      </c>
      <c r="AD98" s="83" t="str">
        <f>IF(ISBLANK(VLOOKUP(L98,[1]Upcoming!$A$5:$I$185,9,FALSE)),"",VLOOKUP(L98,[1]Upcoming!$A$5:$I$185,9,FALSE))</f>
        <v/>
      </c>
    </row>
    <row r="99" spans="1:37" ht="25.5" customHeight="1" thickBot="1" x14ac:dyDescent="0.3">
      <c r="K99" s="74" t="e">
        <f t="shared" ca="1" si="12"/>
        <v>#REF!</v>
      </c>
      <c r="L99" s="97" t="s">
        <v>19</v>
      </c>
      <c r="M99" s="86"/>
      <c r="N99" s="106" t="e">
        <f t="shared" ca="1" si="13"/>
        <v>#REF!</v>
      </c>
      <c r="O99" s="87" t="e">
        <f t="shared" ca="1" si="14"/>
        <v>#REF!</v>
      </c>
      <c r="P99" s="88" t="e">
        <f t="shared" ca="1" si="15"/>
        <v>#REF!</v>
      </c>
      <c r="Q99" s="89" t="e">
        <f t="shared" ca="1" si="16"/>
        <v>#REF!</v>
      </c>
      <c r="R99" s="90" t="e">
        <f t="shared" ca="1" si="17"/>
        <v>#REF!</v>
      </c>
      <c r="S99" s="81"/>
      <c r="T99" s="82" t="str">
        <f>VLOOKUP(L99,[1]Upcoming!$A$5:$I$185,2,FALSE)</f>
        <v/>
      </c>
      <c r="U99" s="83" t="str">
        <f>VLOOKUP(L99,[1]Upcoming!$A$5:$I$185,3,FALSE)</f>
        <v/>
      </c>
      <c r="V99" s="84"/>
      <c r="W99" s="82" t="e">
        <f>IF(ISBLANK(VLOOKUP(I99,[1]Upcoming!$A$5:$I$185,4,FALSE)),"",VLOOKUP(I99,[1]Upcoming!$A$5:$I$185,4,FALSE))</f>
        <v>#N/A</v>
      </c>
      <c r="X99" s="83" t="e">
        <f>IF(ISBLANK(VLOOKUP(I99,[1]Upcoming!$A$5:$I$185,5,FALSE)),"",VLOOKUP(I99,[1]Upcoming!$A$5:$I$185,5,FALSE))</f>
        <v>#N/A</v>
      </c>
      <c r="Y99" s="84"/>
      <c r="Z99" s="82" t="str">
        <f>IF(ISBLANK(VLOOKUP(L99,[1]Upcoming!$A$5:$I$185,6,FALSE)),"",VLOOKUP(L99,[1]Upcoming!$A$5:$I$185,6,FALSE))</f>
        <v/>
      </c>
      <c r="AA99" s="83" t="str">
        <f>IF(ISBLANK(VLOOKUP(L99,[1]Upcoming!$A$5:$I$185,7,FALSE)),"",VLOOKUP(L99,[1]Upcoming!$A$5:$I$185,7,FALSE))</f>
        <v/>
      </c>
      <c r="AB99" s="84"/>
      <c r="AC99" s="82" t="str">
        <f>IF(ISBLANK(VLOOKUP(L99,[1]Upcoming!$A$5:$I$185,8,FALSE)),"",VLOOKUP(L99,[1]Upcoming!$A$5:$I$185,8,FALSE))</f>
        <v/>
      </c>
      <c r="AD99" s="83" t="str">
        <f>IF(ISBLANK(VLOOKUP(L99,[1]Upcoming!$A$5:$I$185,9,FALSE)),"",VLOOKUP(L99,[1]Upcoming!$A$5:$I$185,9,FALSE))</f>
        <v/>
      </c>
    </row>
    <row r="100" spans="1:37" ht="25.5" customHeight="1" thickBot="1" x14ac:dyDescent="0.3">
      <c r="K100" s="74" t="e">
        <f t="shared" ca="1" si="12"/>
        <v>#REF!</v>
      </c>
      <c r="L100" s="97" t="s">
        <v>269</v>
      </c>
      <c r="M100" s="86"/>
      <c r="N100" s="106" t="e">
        <f t="shared" ca="1" si="13"/>
        <v>#REF!</v>
      </c>
      <c r="O100" s="87" t="e">
        <f t="shared" ca="1" si="14"/>
        <v>#REF!</v>
      </c>
      <c r="P100" s="88" t="e">
        <f t="shared" ca="1" si="15"/>
        <v>#REF!</v>
      </c>
      <c r="Q100" s="89" t="e">
        <f t="shared" ca="1" si="16"/>
        <v>#REF!</v>
      </c>
      <c r="R100" s="90" t="e">
        <f t="shared" ca="1" si="17"/>
        <v>#REF!</v>
      </c>
      <c r="S100" s="81"/>
      <c r="T100" s="82" t="str">
        <f>VLOOKUP(L100,[1]Upcoming!$A$5:$I$185,2,FALSE)</f>
        <v/>
      </c>
      <c r="U100" s="83" t="str">
        <f>VLOOKUP(L100,[1]Upcoming!$A$5:$I$185,3,FALSE)</f>
        <v/>
      </c>
      <c r="V100" s="84"/>
      <c r="W100" s="82" t="e">
        <f>IF(ISBLANK(VLOOKUP(I100,[1]Upcoming!$A$5:$I$185,4,FALSE)),"",VLOOKUP(I100,[1]Upcoming!$A$5:$I$185,4,FALSE))</f>
        <v>#N/A</v>
      </c>
      <c r="X100" s="83" t="e">
        <f>IF(ISBLANK(VLOOKUP(I100,[1]Upcoming!$A$5:$I$185,5,FALSE)),"",VLOOKUP(I100,[1]Upcoming!$A$5:$I$185,5,FALSE))</f>
        <v>#N/A</v>
      </c>
      <c r="Y100" s="84"/>
      <c r="Z100" s="82" t="str">
        <f>IF(ISBLANK(VLOOKUP(L100,[1]Upcoming!$A$5:$I$185,6,FALSE)),"",VLOOKUP(L100,[1]Upcoming!$A$5:$I$185,6,FALSE))</f>
        <v/>
      </c>
      <c r="AA100" s="83" t="str">
        <f>IF(ISBLANK(VLOOKUP(L100,[1]Upcoming!$A$5:$I$185,7,FALSE)),"",VLOOKUP(L100,[1]Upcoming!$A$5:$I$185,7,FALSE))</f>
        <v/>
      </c>
      <c r="AB100" s="84"/>
      <c r="AC100" s="82" t="str">
        <f>IF(ISBLANK(VLOOKUP(L100,[1]Upcoming!$A$5:$I$185,8,FALSE)),"",VLOOKUP(L100,[1]Upcoming!$A$5:$I$185,8,FALSE))</f>
        <v/>
      </c>
      <c r="AD100" s="83" t="str">
        <f>IF(ISBLANK(VLOOKUP(L100,[1]Upcoming!$A$5:$I$185,9,FALSE)),"",VLOOKUP(L100,[1]Upcoming!$A$5:$I$185,9,FALSE))</f>
        <v/>
      </c>
    </row>
    <row r="101" spans="1:37" ht="25.5" customHeight="1" thickBot="1" x14ac:dyDescent="0.3">
      <c r="K101" s="74" t="e">
        <f t="shared" ca="1" si="12"/>
        <v>#REF!</v>
      </c>
      <c r="L101" s="97" t="s">
        <v>316</v>
      </c>
      <c r="M101" s="86"/>
      <c r="N101" s="106" t="e">
        <f t="shared" ca="1" si="13"/>
        <v>#REF!</v>
      </c>
      <c r="O101" s="87" t="e">
        <f t="shared" ca="1" si="14"/>
        <v>#REF!</v>
      </c>
      <c r="P101" s="88" t="e">
        <f t="shared" ca="1" si="15"/>
        <v>#REF!</v>
      </c>
      <c r="Q101" s="89" t="e">
        <f t="shared" ca="1" si="16"/>
        <v>#REF!</v>
      </c>
      <c r="R101" s="90" t="e">
        <f t="shared" ca="1" si="17"/>
        <v>#REF!</v>
      </c>
      <c r="S101" s="81"/>
      <c r="T101" s="82" t="str">
        <f>VLOOKUP(L101,[1]Upcoming!$A$5:$I$185,2,FALSE)</f>
        <v/>
      </c>
      <c r="U101" s="83" t="str">
        <f>VLOOKUP(L101,[1]Upcoming!$A$5:$I$185,3,FALSE)</f>
        <v/>
      </c>
      <c r="V101" s="84"/>
      <c r="W101" s="82" t="e">
        <f>IF(ISBLANK(VLOOKUP(I101,[1]Upcoming!$A$5:$I$185,4,FALSE)),"",VLOOKUP(I101,[1]Upcoming!$A$5:$I$185,4,FALSE))</f>
        <v>#N/A</v>
      </c>
      <c r="X101" s="83" t="e">
        <f>IF(ISBLANK(VLOOKUP(I101,[1]Upcoming!$A$5:$I$185,5,FALSE)),"",VLOOKUP(I101,[1]Upcoming!$A$5:$I$185,5,FALSE))</f>
        <v>#N/A</v>
      </c>
      <c r="Y101" s="84"/>
      <c r="Z101" s="82" t="str">
        <f>IF(ISBLANK(VLOOKUP(L101,[1]Upcoming!$A$5:$I$185,6,FALSE)),"",VLOOKUP(L101,[1]Upcoming!$A$5:$I$185,6,FALSE))</f>
        <v/>
      </c>
      <c r="AA101" s="83" t="str">
        <f>IF(ISBLANK(VLOOKUP(L101,[1]Upcoming!$A$5:$I$185,7,FALSE)),"",VLOOKUP(L101,[1]Upcoming!$A$5:$I$185,7,FALSE))</f>
        <v/>
      </c>
      <c r="AB101" s="84"/>
      <c r="AC101" s="82" t="str">
        <f>IF(ISBLANK(VLOOKUP(L101,[1]Upcoming!$A$5:$I$185,8,FALSE)),"",VLOOKUP(L101,[1]Upcoming!$A$5:$I$185,8,FALSE))</f>
        <v/>
      </c>
      <c r="AD101" s="83" t="str">
        <f>IF(ISBLANK(VLOOKUP(L101,[1]Upcoming!$A$5:$I$185,9,FALSE)),"",VLOOKUP(L101,[1]Upcoming!$A$5:$I$185,9,FALSE))</f>
        <v/>
      </c>
    </row>
    <row r="102" spans="1:37" ht="25.5" customHeight="1" thickBot="1" x14ac:dyDescent="0.3">
      <c r="K102" s="74" t="e">
        <f t="shared" ca="1" si="12"/>
        <v>#REF!</v>
      </c>
      <c r="L102" s="97" t="s">
        <v>29</v>
      </c>
      <c r="M102" s="86"/>
      <c r="N102" s="106" t="e">
        <f t="shared" ca="1" si="13"/>
        <v>#REF!</v>
      </c>
      <c r="O102" s="87" t="e">
        <f t="shared" ca="1" si="14"/>
        <v>#REF!</v>
      </c>
      <c r="P102" s="88" t="e">
        <f t="shared" ca="1" si="15"/>
        <v>#REF!</v>
      </c>
      <c r="Q102" s="89" t="e">
        <f t="shared" ca="1" si="16"/>
        <v>#REF!</v>
      </c>
      <c r="R102" s="90" t="e">
        <f t="shared" ca="1" si="17"/>
        <v>#REF!</v>
      </c>
      <c r="S102" s="81"/>
      <c r="T102" s="82" t="str">
        <f>VLOOKUP(L102,[1]Upcoming!$A$5:$I$185,2,FALSE)</f>
        <v/>
      </c>
      <c r="U102" s="83" t="str">
        <f>VLOOKUP(L102,[1]Upcoming!$A$5:$I$185,3,FALSE)</f>
        <v/>
      </c>
      <c r="V102" s="84"/>
      <c r="W102" s="82" t="e">
        <f>IF(ISBLANK(VLOOKUP(I102,[1]Upcoming!$A$5:$I$185,4,FALSE)),"",VLOOKUP(I102,[1]Upcoming!$A$5:$I$185,4,FALSE))</f>
        <v>#N/A</v>
      </c>
      <c r="X102" s="83" t="e">
        <f>IF(ISBLANK(VLOOKUP(I102,[1]Upcoming!$A$5:$I$185,5,FALSE)),"",VLOOKUP(I102,[1]Upcoming!$A$5:$I$185,5,FALSE))</f>
        <v>#N/A</v>
      </c>
      <c r="Y102" s="84"/>
      <c r="Z102" s="82" t="str">
        <f>IF(ISBLANK(VLOOKUP(L102,[1]Upcoming!$A$5:$I$185,6,FALSE)),"",VLOOKUP(L102,[1]Upcoming!$A$5:$I$185,6,FALSE))</f>
        <v/>
      </c>
      <c r="AA102" s="83" t="str">
        <f>IF(ISBLANK(VLOOKUP(L102,[1]Upcoming!$A$5:$I$185,7,FALSE)),"",VLOOKUP(L102,[1]Upcoming!$A$5:$I$185,7,FALSE))</f>
        <v/>
      </c>
      <c r="AB102" s="84"/>
      <c r="AC102" s="82" t="str">
        <f>IF(ISBLANK(VLOOKUP(L102,[1]Upcoming!$A$5:$I$185,8,FALSE)),"",VLOOKUP(L102,[1]Upcoming!$A$5:$I$185,8,FALSE))</f>
        <v/>
      </c>
      <c r="AD102" s="83" t="str">
        <f>IF(ISBLANK(VLOOKUP(L102,[1]Upcoming!$A$5:$I$185,9,FALSE)),"",VLOOKUP(L102,[1]Upcoming!$A$5:$I$185,9,FALSE))</f>
        <v/>
      </c>
    </row>
    <row r="103" spans="1:37" ht="25.5" customHeight="1" thickBot="1" x14ac:dyDescent="0.3">
      <c r="K103" s="74" t="e">
        <f t="shared" ca="1" si="12"/>
        <v>#REF!</v>
      </c>
      <c r="L103" s="97" t="s">
        <v>270</v>
      </c>
      <c r="M103" s="86"/>
      <c r="N103" s="106" t="e">
        <f t="shared" ca="1" si="13"/>
        <v>#REF!</v>
      </c>
      <c r="O103" s="87" t="e">
        <f t="shared" ca="1" si="14"/>
        <v>#REF!</v>
      </c>
      <c r="P103" s="88" t="e">
        <f t="shared" ca="1" si="15"/>
        <v>#REF!</v>
      </c>
      <c r="Q103" s="89" t="e">
        <f t="shared" ca="1" si="16"/>
        <v>#REF!</v>
      </c>
      <c r="R103" s="90" t="e">
        <f t="shared" ca="1" si="17"/>
        <v>#REF!</v>
      </c>
      <c r="S103" s="81"/>
      <c r="T103" s="82" t="str">
        <f>VLOOKUP(L103,[1]Upcoming!$A$5:$I$185,2,FALSE)</f>
        <v/>
      </c>
      <c r="U103" s="83" t="str">
        <f>VLOOKUP(L103,[1]Upcoming!$A$5:$I$185,3,FALSE)</f>
        <v/>
      </c>
      <c r="V103" s="84"/>
      <c r="W103" s="82" t="e">
        <f>IF(ISBLANK(VLOOKUP(I103,[1]Upcoming!$A$5:$I$185,4,FALSE)),"",VLOOKUP(I103,[1]Upcoming!$A$5:$I$185,4,FALSE))</f>
        <v>#N/A</v>
      </c>
      <c r="X103" s="83" t="e">
        <f>IF(ISBLANK(VLOOKUP(I103,[1]Upcoming!$A$5:$I$185,5,FALSE)),"",VLOOKUP(I103,[1]Upcoming!$A$5:$I$185,5,FALSE))</f>
        <v>#N/A</v>
      </c>
      <c r="Y103" s="84"/>
      <c r="Z103" s="82" t="str">
        <f>IF(ISBLANK(VLOOKUP(L103,[1]Upcoming!$A$5:$I$185,6,FALSE)),"",VLOOKUP(L103,[1]Upcoming!$A$5:$I$185,6,FALSE))</f>
        <v/>
      </c>
      <c r="AA103" s="83" t="str">
        <f>IF(ISBLANK(VLOOKUP(L103,[1]Upcoming!$A$5:$I$185,7,FALSE)),"",VLOOKUP(L103,[1]Upcoming!$A$5:$I$185,7,FALSE))</f>
        <v/>
      </c>
      <c r="AB103" s="84"/>
      <c r="AC103" s="82" t="str">
        <f>IF(ISBLANK(VLOOKUP(L103,[1]Upcoming!$A$5:$I$185,8,FALSE)),"",VLOOKUP(L103,[1]Upcoming!$A$5:$I$185,8,FALSE))</f>
        <v/>
      </c>
      <c r="AD103" s="83" t="str">
        <f>IF(ISBLANK(VLOOKUP(L103,[1]Upcoming!$A$5:$I$185,9,FALSE)),"",VLOOKUP(L103,[1]Upcoming!$A$5:$I$185,9,FALSE))</f>
        <v/>
      </c>
    </row>
    <row r="104" spans="1:37" ht="25.5" customHeight="1" thickBot="1" x14ac:dyDescent="0.3">
      <c r="K104" s="74" t="e">
        <f t="shared" ca="1" si="12"/>
        <v>#REF!</v>
      </c>
      <c r="L104" s="97" t="s">
        <v>291</v>
      </c>
      <c r="M104" s="86"/>
      <c r="N104" s="106" t="e">
        <f t="shared" ca="1" si="13"/>
        <v>#REF!</v>
      </c>
      <c r="O104" s="87" t="e">
        <f t="shared" ca="1" si="14"/>
        <v>#REF!</v>
      </c>
      <c r="P104" s="88" t="e">
        <f t="shared" ca="1" si="15"/>
        <v>#REF!</v>
      </c>
      <c r="Q104" s="89" t="e">
        <f t="shared" ca="1" si="16"/>
        <v>#REF!</v>
      </c>
      <c r="R104" s="90" t="e">
        <f t="shared" ca="1" si="17"/>
        <v>#REF!</v>
      </c>
      <c r="S104" s="81"/>
      <c r="T104" s="82" t="str">
        <f>VLOOKUP(L104,[1]Upcoming!$A$5:$I$185,2,FALSE)</f>
        <v/>
      </c>
      <c r="U104" s="83" t="str">
        <f>VLOOKUP(L104,[1]Upcoming!$A$5:$I$185,3,FALSE)</f>
        <v/>
      </c>
      <c r="V104" s="84"/>
      <c r="W104" s="82" t="e">
        <f>IF(ISBLANK(VLOOKUP(I104,[1]Upcoming!$A$5:$I$185,4,FALSE)),"",VLOOKUP(I104,[1]Upcoming!$A$5:$I$185,4,FALSE))</f>
        <v>#N/A</v>
      </c>
      <c r="X104" s="83" t="e">
        <f>IF(ISBLANK(VLOOKUP(I104,[1]Upcoming!$A$5:$I$185,5,FALSE)),"",VLOOKUP(I104,[1]Upcoming!$A$5:$I$185,5,FALSE))</f>
        <v>#N/A</v>
      </c>
      <c r="Y104" s="84"/>
      <c r="Z104" s="82" t="str">
        <f>IF(ISBLANK(VLOOKUP(L104,[1]Upcoming!$A$5:$I$185,6,FALSE)),"",VLOOKUP(L104,[1]Upcoming!$A$5:$I$185,6,FALSE))</f>
        <v/>
      </c>
      <c r="AA104" s="83" t="str">
        <f>IF(ISBLANK(VLOOKUP(L104,[1]Upcoming!$A$5:$I$185,7,FALSE)),"",VLOOKUP(L104,[1]Upcoming!$A$5:$I$185,7,FALSE))</f>
        <v/>
      </c>
      <c r="AB104" s="84"/>
      <c r="AC104" s="82" t="str">
        <f>IF(ISBLANK(VLOOKUP(L104,[1]Upcoming!$A$5:$I$185,8,FALSE)),"",VLOOKUP(L104,[1]Upcoming!$A$5:$I$185,8,FALSE))</f>
        <v/>
      </c>
      <c r="AD104" s="83" t="str">
        <f>IF(ISBLANK(VLOOKUP(L104,[1]Upcoming!$A$5:$I$185,9,FALSE)),"",VLOOKUP(L104,[1]Upcoming!$A$5:$I$185,9,FALSE))</f>
        <v/>
      </c>
    </row>
    <row r="105" spans="1:37" ht="25.5" customHeight="1" thickBot="1" x14ac:dyDescent="0.3">
      <c r="K105" s="74" t="e">
        <f t="shared" ca="1" si="12"/>
        <v>#REF!</v>
      </c>
      <c r="L105" s="97" t="s">
        <v>303</v>
      </c>
      <c r="M105" s="86"/>
      <c r="N105" s="106" t="e">
        <f t="shared" ca="1" si="13"/>
        <v>#REF!</v>
      </c>
      <c r="O105" s="87" t="e">
        <f t="shared" ca="1" si="14"/>
        <v>#REF!</v>
      </c>
      <c r="P105" s="88" t="e">
        <f t="shared" ca="1" si="15"/>
        <v>#REF!</v>
      </c>
      <c r="Q105" s="89" t="e">
        <f t="shared" ca="1" si="16"/>
        <v>#REF!</v>
      </c>
      <c r="R105" s="90" t="e">
        <f t="shared" ca="1" si="17"/>
        <v>#REF!</v>
      </c>
      <c r="S105" s="81"/>
      <c r="T105" s="82" t="str">
        <f>VLOOKUP(L105,[1]Upcoming!$A$5:$I$185,2,FALSE)</f>
        <v/>
      </c>
      <c r="U105" s="83" t="str">
        <f>VLOOKUP(L105,[1]Upcoming!$A$5:$I$185,3,FALSE)</f>
        <v/>
      </c>
      <c r="V105" s="84"/>
      <c r="W105" s="82" t="e">
        <f>IF(ISBLANK(VLOOKUP(I105,[1]Upcoming!$A$5:$I$185,4,FALSE)),"",VLOOKUP(I105,[1]Upcoming!$A$5:$I$185,4,FALSE))</f>
        <v>#N/A</v>
      </c>
      <c r="X105" s="83" t="e">
        <f>IF(ISBLANK(VLOOKUP(I105,[1]Upcoming!$A$5:$I$185,5,FALSE)),"",VLOOKUP(I105,[1]Upcoming!$A$5:$I$185,5,FALSE))</f>
        <v>#N/A</v>
      </c>
      <c r="Y105" s="84"/>
      <c r="Z105" s="82" t="str">
        <f>IF(ISBLANK(VLOOKUP(L105,[1]Upcoming!$A$5:$I$185,6,FALSE)),"",VLOOKUP(L105,[1]Upcoming!$A$5:$I$185,6,FALSE))</f>
        <v/>
      </c>
      <c r="AA105" s="83" t="str">
        <f>IF(ISBLANK(VLOOKUP(L105,[1]Upcoming!$A$5:$I$185,7,FALSE)),"",VLOOKUP(L105,[1]Upcoming!$A$5:$I$185,7,FALSE))</f>
        <v/>
      </c>
      <c r="AB105" s="84"/>
      <c r="AC105" s="82" t="str">
        <f>IF(ISBLANK(VLOOKUP(L105,[1]Upcoming!$A$5:$I$185,8,FALSE)),"",VLOOKUP(L105,[1]Upcoming!$A$5:$I$185,8,FALSE))</f>
        <v/>
      </c>
      <c r="AD105" s="83" t="str">
        <f>IF(ISBLANK(VLOOKUP(L105,[1]Upcoming!$A$5:$I$185,9,FALSE)),"",VLOOKUP(L105,[1]Upcoming!$A$5:$I$185,9,FALSE))</f>
        <v/>
      </c>
    </row>
    <row r="106" spans="1:37" ht="25.5" customHeight="1" thickBot="1" x14ac:dyDescent="0.3">
      <c r="K106" s="74" t="e">
        <f t="shared" ca="1" si="12"/>
        <v>#REF!</v>
      </c>
      <c r="L106" s="97" t="s">
        <v>295</v>
      </c>
      <c r="M106" s="86"/>
      <c r="N106" s="106" t="e">
        <f t="shared" ca="1" si="13"/>
        <v>#REF!</v>
      </c>
      <c r="O106" s="87" t="e">
        <f t="shared" ca="1" si="14"/>
        <v>#REF!</v>
      </c>
      <c r="P106" s="88" t="e">
        <f t="shared" ca="1" si="15"/>
        <v>#REF!</v>
      </c>
      <c r="Q106" s="89" t="e">
        <f t="shared" ca="1" si="16"/>
        <v>#REF!</v>
      </c>
      <c r="R106" s="90" t="e">
        <f t="shared" ca="1" si="17"/>
        <v>#REF!</v>
      </c>
      <c r="S106" s="81"/>
      <c r="T106" s="82" t="str">
        <f>VLOOKUP(L106,[1]Upcoming!$A$5:$I$185,2,FALSE)</f>
        <v/>
      </c>
      <c r="U106" s="83" t="str">
        <f>VLOOKUP(L106,[1]Upcoming!$A$5:$I$185,3,FALSE)</f>
        <v/>
      </c>
      <c r="V106" s="84"/>
      <c r="W106" s="82" t="e">
        <f>IF(ISBLANK(VLOOKUP(I106,[1]Upcoming!$A$5:$I$185,4,FALSE)),"",VLOOKUP(I106,[1]Upcoming!$A$5:$I$185,4,FALSE))</f>
        <v>#N/A</v>
      </c>
      <c r="X106" s="83" t="e">
        <f>IF(ISBLANK(VLOOKUP(I106,[1]Upcoming!$A$5:$I$185,5,FALSE)),"",VLOOKUP(I106,[1]Upcoming!$A$5:$I$185,5,FALSE))</f>
        <v>#N/A</v>
      </c>
      <c r="Y106" s="84"/>
      <c r="Z106" s="82" t="str">
        <f>IF(ISBLANK(VLOOKUP(L106,[1]Upcoming!$A$5:$I$185,6,FALSE)),"",VLOOKUP(L106,[1]Upcoming!$A$5:$I$185,6,FALSE))</f>
        <v/>
      </c>
      <c r="AA106" s="83" t="str">
        <f>IF(ISBLANK(VLOOKUP(L106,[1]Upcoming!$A$5:$I$185,7,FALSE)),"",VLOOKUP(L106,[1]Upcoming!$A$5:$I$185,7,FALSE))</f>
        <v/>
      </c>
      <c r="AB106" s="84"/>
      <c r="AC106" s="82" t="str">
        <f>IF(ISBLANK(VLOOKUP(L106,[1]Upcoming!$A$5:$I$185,8,FALSE)),"",VLOOKUP(L106,[1]Upcoming!$A$5:$I$185,8,FALSE))</f>
        <v/>
      </c>
      <c r="AD106" s="83" t="str">
        <f>IF(ISBLANK(VLOOKUP(L106,[1]Upcoming!$A$5:$I$185,9,FALSE)),"",VLOOKUP(L106,[1]Upcoming!$A$5:$I$185,9,FALSE))</f>
        <v/>
      </c>
    </row>
    <row r="107" spans="1:37" ht="25.5" customHeight="1" thickBot="1" x14ac:dyDescent="0.3">
      <c r="K107" s="74" t="e">
        <f t="shared" ca="1" si="12"/>
        <v>#REF!</v>
      </c>
      <c r="L107" s="97" t="s">
        <v>47</v>
      </c>
      <c r="M107" s="86"/>
      <c r="N107" s="106" t="e">
        <f t="shared" ca="1" si="13"/>
        <v>#REF!</v>
      </c>
      <c r="O107" s="87" t="e">
        <f t="shared" ca="1" si="14"/>
        <v>#REF!</v>
      </c>
      <c r="P107" s="88" t="e">
        <f t="shared" ca="1" si="15"/>
        <v>#REF!</v>
      </c>
      <c r="Q107" s="89" t="e">
        <f t="shared" ca="1" si="16"/>
        <v>#REF!</v>
      </c>
      <c r="R107" s="90" t="e">
        <f t="shared" ca="1" si="17"/>
        <v>#REF!</v>
      </c>
      <c r="S107" s="81"/>
      <c r="T107" s="82" t="str">
        <f>VLOOKUP(L107,[1]Upcoming!$A$5:$I$185,2,FALSE)</f>
        <v/>
      </c>
      <c r="U107" s="83" t="str">
        <f>VLOOKUP(L107,[1]Upcoming!$A$5:$I$185,3,FALSE)</f>
        <v/>
      </c>
      <c r="V107" s="84"/>
      <c r="W107" s="82" t="e">
        <f>IF(ISBLANK(VLOOKUP(I107,[1]Upcoming!$A$5:$I$185,4,FALSE)),"",VLOOKUP(I107,[1]Upcoming!$A$5:$I$185,4,FALSE))</f>
        <v>#N/A</v>
      </c>
      <c r="X107" s="83" t="e">
        <f>IF(ISBLANK(VLOOKUP(I107,[1]Upcoming!$A$5:$I$185,5,FALSE)),"",VLOOKUP(I107,[1]Upcoming!$A$5:$I$185,5,FALSE))</f>
        <v>#N/A</v>
      </c>
      <c r="Y107" s="84"/>
      <c r="Z107" s="82" t="str">
        <f>IF(ISBLANK(VLOOKUP(L107,[1]Upcoming!$A$5:$I$185,6,FALSE)),"",VLOOKUP(L107,[1]Upcoming!$A$5:$I$185,6,FALSE))</f>
        <v/>
      </c>
      <c r="AA107" s="83" t="str">
        <f>IF(ISBLANK(VLOOKUP(L107,[1]Upcoming!$A$5:$I$185,7,FALSE)),"",VLOOKUP(L107,[1]Upcoming!$A$5:$I$185,7,FALSE))</f>
        <v/>
      </c>
      <c r="AB107" s="84"/>
      <c r="AC107" s="82" t="str">
        <f>IF(ISBLANK(VLOOKUP(L107,[1]Upcoming!$A$5:$I$185,8,FALSE)),"",VLOOKUP(L107,[1]Upcoming!$A$5:$I$185,8,FALSE))</f>
        <v/>
      </c>
      <c r="AD107" s="83" t="str">
        <f>IF(ISBLANK(VLOOKUP(L107,[1]Upcoming!$A$5:$I$185,9,FALSE)),"",VLOOKUP(L107,[1]Upcoming!$A$5:$I$185,9,FALSE))</f>
        <v/>
      </c>
    </row>
    <row r="108" spans="1:37" ht="25.5" customHeight="1" thickBot="1" x14ac:dyDescent="0.3">
      <c r="K108" s="74" t="e">
        <f t="shared" ca="1" si="12"/>
        <v>#REF!</v>
      </c>
      <c r="L108" s="97" t="s">
        <v>340</v>
      </c>
      <c r="M108" s="86"/>
      <c r="N108" s="106" t="e">
        <f t="shared" ca="1" si="13"/>
        <v>#REF!</v>
      </c>
      <c r="O108" s="87" t="e">
        <f t="shared" ca="1" si="14"/>
        <v>#REF!</v>
      </c>
      <c r="P108" s="88" t="e">
        <f t="shared" ca="1" si="15"/>
        <v>#REF!</v>
      </c>
      <c r="Q108" s="89" t="e">
        <f t="shared" ca="1" si="16"/>
        <v>#REF!</v>
      </c>
      <c r="R108" s="111" t="e">
        <f t="shared" ca="1" si="17"/>
        <v>#REF!</v>
      </c>
      <c r="S108" s="81"/>
      <c r="T108" s="82" t="str">
        <f>VLOOKUP(L108,[1]Upcoming!$A$5:$I$185,2,FALSE)</f>
        <v/>
      </c>
      <c r="U108" s="83" t="str">
        <f>VLOOKUP(L108,[1]Upcoming!$A$5:$I$185,3,FALSE)</f>
        <v/>
      </c>
      <c r="V108" s="84"/>
      <c r="W108" s="82" t="e">
        <f>IF(ISBLANK(VLOOKUP(I108,[1]Upcoming!$A$5:$I$185,4,FALSE)),"",VLOOKUP(I108,[1]Upcoming!$A$5:$I$185,4,FALSE))</f>
        <v>#N/A</v>
      </c>
      <c r="X108" s="83" t="e">
        <f>IF(ISBLANK(VLOOKUP(I108,[1]Upcoming!$A$5:$I$185,5,FALSE)),"",VLOOKUP(I108,[1]Upcoming!$A$5:$I$185,5,FALSE))</f>
        <v>#N/A</v>
      </c>
      <c r="Y108" s="84"/>
      <c r="Z108" s="82" t="str">
        <f>IF(ISBLANK(VLOOKUP(L108,[1]Upcoming!$A$5:$I$185,6,FALSE)),"",VLOOKUP(L108,[1]Upcoming!$A$5:$I$185,6,FALSE))</f>
        <v/>
      </c>
      <c r="AA108" s="83" t="str">
        <f>IF(ISBLANK(VLOOKUP(L108,[1]Upcoming!$A$5:$I$185,7,FALSE)),"",VLOOKUP(L108,[1]Upcoming!$A$5:$I$185,7,FALSE))</f>
        <v/>
      </c>
      <c r="AB108" s="84"/>
      <c r="AC108" s="82" t="str">
        <f>IF(ISBLANK(VLOOKUP(L108,[1]Upcoming!$A$5:$I$185,8,FALSE)),"",VLOOKUP(L108,[1]Upcoming!$A$5:$I$185,8,FALSE))</f>
        <v/>
      </c>
      <c r="AD108" s="83" t="str">
        <f>IF(ISBLANK(VLOOKUP(L108,[1]Upcoming!$A$5:$I$185,9,FALSE)),"",VLOOKUP(L108,[1]Upcoming!$A$5:$I$185,9,FALSE))</f>
        <v/>
      </c>
    </row>
    <row r="109" spans="1:37" ht="25.5" customHeight="1" thickBot="1" x14ac:dyDescent="0.3">
      <c r="K109" s="74" t="e">
        <f t="shared" ca="1" si="12"/>
        <v>#REF!</v>
      </c>
      <c r="L109" s="97" t="s">
        <v>330</v>
      </c>
      <c r="M109" s="86"/>
      <c r="N109" s="106" t="e">
        <f t="shared" ca="1" si="13"/>
        <v>#REF!</v>
      </c>
      <c r="O109" s="87" t="e">
        <f t="shared" ca="1" si="14"/>
        <v>#REF!</v>
      </c>
      <c r="P109" s="88" t="e">
        <f t="shared" ca="1" si="15"/>
        <v>#REF!</v>
      </c>
      <c r="Q109" s="89" t="e">
        <f t="shared" ca="1" si="16"/>
        <v>#REF!</v>
      </c>
      <c r="R109" s="111" t="e">
        <f t="shared" ca="1" si="17"/>
        <v>#REF!</v>
      </c>
      <c r="S109" s="81"/>
      <c r="T109" s="82" t="str">
        <f>VLOOKUP(L109,[1]Upcoming!$A$5:$I$185,2,FALSE)</f>
        <v/>
      </c>
      <c r="U109" s="83" t="str">
        <f>VLOOKUP(L109,[1]Upcoming!$A$5:$I$185,3,FALSE)</f>
        <v/>
      </c>
      <c r="V109" s="84"/>
      <c r="W109" s="82" t="e">
        <f>IF(ISBLANK(VLOOKUP(I109,[1]Upcoming!$A$5:$I$185,4,FALSE)),"",VLOOKUP(I109,[1]Upcoming!$A$5:$I$185,4,FALSE))</f>
        <v>#N/A</v>
      </c>
      <c r="X109" s="83" t="e">
        <f>IF(ISBLANK(VLOOKUP(I109,[1]Upcoming!$A$5:$I$185,5,FALSE)),"",VLOOKUP(I109,[1]Upcoming!$A$5:$I$185,5,FALSE))</f>
        <v>#N/A</v>
      </c>
      <c r="Y109" s="84"/>
      <c r="Z109" s="82" t="str">
        <f>IF(ISBLANK(VLOOKUP(L109,[1]Upcoming!$A$5:$I$185,6,FALSE)),"",VLOOKUP(L109,[1]Upcoming!$A$5:$I$185,6,FALSE))</f>
        <v/>
      </c>
      <c r="AA109" s="83" t="str">
        <f>IF(ISBLANK(VLOOKUP(L109,[1]Upcoming!$A$5:$I$185,7,FALSE)),"",VLOOKUP(L109,[1]Upcoming!$A$5:$I$185,7,FALSE))</f>
        <v/>
      </c>
      <c r="AB109" s="84"/>
      <c r="AC109" s="82" t="str">
        <f>IF(ISBLANK(VLOOKUP(L109,[1]Upcoming!$A$5:$I$185,8,FALSE)),"",VLOOKUP(L109,[1]Upcoming!$A$5:$I$185,8,FALSE))</f>
        <v/>
      </c>
      <c r="AD109" s="83" t="str">
        <f>IF(ISBLANK(VLOOKUP(L109,[1]Upcoming!$A$5:$I$185,9,FALSE)),"",VLOOKUP(L109,[1]Upcoming!$A$5:$I$185,9,FALSE))</f>
        <v/>
      </c>
    </row>
    <row r="110" spans="1:37" ht="25.5" customHeight="1" thickBot="1" x14ac:dyDescent="0.3">
      <c r="K110" s="74" t="e">
        <f t="shared" ca="1" si="12"/>
        <v>#REF!</v>
      </c>
      <c r="L110" s="97" t="s">
        <v>350</v>
      </c>
      <c r="M110" s="86"/>
      <c r="N110" s="106" t="e">
        <f t="shared" ca="1" si="13"/>
        <v>#REF!</v>
      </c>
      <c r="O110" s="87" t="e">
        <f t="shared" ca="1" si="14"/>
        <v>#REF!</v>
      </c>
      <c r="P110" s="88" t="e">
        <f t="shared" ca="1" si="15"/>
        <v>#REF!</v>
      </c>
      <c r="Q110" s="89" t="e">
        <f t="shared" ca="1" si="16"/>
        <v>#REF!</v>
      </c>
      <c r="R110" s="90" t="e">
        <f t="shared" ca="1" si="17"/>
        <v>#REF!</v>
      </c>
      <c r="S110" s="81"/>
      <c r="T110" s="82" t="str">
        <f>VLOOKUP(L110,[1]Upcoming!$A$5:$I$185,2,FALSE)</f>
        <v/>
      </c>
      <c r="U110" s="83" t="str">
        <f>VLOOKUP(L110,[1]Upcoming!$A$5:$I$185,3,FALSE)</f>
        <v/>
      </c>
      <c r="V110" s="84"/>
      <c r="W110" s="82" t="e">
        <f>IF(ISBLANK(VLOOKUP(I110,[1]Upcoming!$A$5:$I$185,4,FALSE)),"",VLOOKUP(I110,[1]Upcoming!$A$5:$I$185,4,FALSE))</f>
        <v>#N/A</v>
      </c>
      <c r="X110" s="83" t="e">
        <f>IF(ISBLANK(VLOOKUP(I110,[1]Upcoming!$A$5:$I$185,5,FALSE)),"",VLOOKUP(I110,[1]Upcoming!$A$5:$I$185,5,FALSE))</f>
        <v>#N/A</v>
      </c>
      <c r="Y110" s="84"/>
      <c r="Z110" s="82" t="str">
        <f>IF(ISBLANK(VLOOKUP(L110,[1]Upcoming!$A$5:$I$185,6,FALSE)),"",VLOOKUP(L110,[1]Upcoming!$A$5:$I$185,6,FALSE))</f>
        <v/>
      </c>
      <c r="AA110" s="83" t="str">
        <f>IF(ISBLANK(VLOOKUP(L110,[1]Upcoming!$A$5:$I$185,7,FALSE)),"",VLOOKUP(L110,[1]Upcoming!$A$5:$I$185,7,FALSE))</f>
        <v/>
      </c>
      <c r="AB110" s="84"/>
      <c r="AC110" s="82" t="str">
        <f>IF(ISBLANK(VLOOKUP(L110,[1]Upcoming!$A$5:$I$185,8,FALSE)),"",VLOOKUP(L110,[1]Upcoming!$A$5:$I$185,8,FALSE))</f>
        <v/>
      </c>
      <c r="AD110" s="83" t="str">
        <f>IF(ISBLANK(VLOOKUP(L110,[1]Upcoming!$A$5:$I$185,9,FALSE)),"",VLOOKUP(L110,[1]Upcoming!$A$5:$I$185,9,FALSE))</f>
        <v/>
      </c>
    </row>
    <row r="111" spans="1:37" ht="25.5" customHeight="1" thickBot="1" x14ac:dyDescent="0.3">
      <c r="K111" s="74" t="e">
        <f t="shared" ca="1" si="12"/>
        <v>#REF!</v>
      </c>
      <c r="L111" s="97" t="s">
        <v>23</v>
      </c>
      <c r="M111" s="86"/>
      <c r="N111" s="106" t="e">
        <f t="shared" ca="1" si="13"/>
        <v>#REF!</v>
      </c>
      <c r="O111" s="87" t="e">
        <f t="shared" ca="1" si="14"/>
        <v>#REF!</v>
      </c>
      <c r="P111" s="88" t="e">
        <f t="shared" ca="1" si="15"/>
        <v>#REF!</v>
      </c>
      <c r="Q111" s="89" t="e">
        <f t="shared" ca="1" si="16"/>
        <v>#REF!</v>
      </c>
      <c r="R111" s="90" t="e">
        <f t="shared" ca="1" si="17"/>
        <v>#REF!</v>
      </c>
      <c r="S111" s="81"/>
      <c r="T111" s="82" t="str">
        <f>VLOOKUP(L111,[1]Upcoming!$A$5:$I$185,2,FALSE)</f>
        <v/>
      </c>
      <c r="U111" s="83" t="str">
        <f>VLOOKUP(L111,[1]Upcoming!$A$5:$I$185,3,FALSE)</f>
        <v/>
      </c>
      <c r="V111" s="84"/>
      <c r="W111" s="82" t="e">
        <f>IF(ISBLANK(VLOOKUP(I111,[1]Upcoming!$A$5:$I$185,4,FALSE)),"",VLOOKUP(I111,[1]Upcoming!$A$5:$I$185,4,FALSE))</f>
        <v>#N/A</v>
      </c>
      <c r="X111" s="83" t="e">
        <f>IF(ISBLANK(VLOOKUP(I111,[1]Upcoming!$A$5:$I$185,5,FALSE)),"",VLOOKUP(I111,[1]Upcoming!$A$5:$I$185,5,FALSE))</f>
        <v>#N/A</v>
      </c>
      <c r="Y111" s="84"/>
      <c r="Z111" s="82" t="str">
        <f>IF(ISBLANK(VLOOKUP(L111,[1]Upcoming!$A$5:$I$185,6,FALSE)),"",VLOOKUP(L111,[1]Upcoming!$A$5:$I$185,6,FALSE))</f>
        <v/>
      </c>
      <c r="AA111" s="83" t="str">
        <f>IF(ISBLANK(VLOOKUP(L111,[1]Upcoming!$A$5:$I$185,7,FALSE)),"",VLOOKUP(L111,[1]Upcoming!$A$5:$I$185,7,FALSE))</f>
        <v/>
      </c>
      <c r="AB111" s="84"/>
      <c r="AC111" s="82" t="str">
        <f>IF(ISBLANK(VLOOKUP(L111,[1]Upcoming!$A$5:$I$185,8,FALSE)),"",VLOOKUP(L111,[1]Upcoming!$A$5:$I$185,8,FALSE))</f>
        <v/>
      </c>
      <c r="AD111" s="83" t="str">
        <f>IF(ISBLANK(VLOOKUP(L111,[1]Upcoming!$A$5:$I$185,9,FALSE)),"",VLOOKUP(L111,[1]Upcoming!$A$5:$I$185,9,FALSE))</f>
        <v/>
      </c>
    </row>
    <row r="112" spans="1:37" ht="25.5" customHeight="1" thickBot="1" x14ac:dyDescent="0.3">
      <c r="K112" s="74" t="e">
        <f t="shared" ca="1" si="12"/>
        <v>#REF!</v>
      </c>
      <c r="L112" s="97" t="s">
        <v>51</v>
      </c>
      <c r="M112" s="86"/>
      <c r="N112" s="106" t="e">
        <f t="shared" ca="1" si="13"/>
        <v>#REF!</v>
      </c>
      <c r="O112" s="87" t="e">
        <f t="shared" ca="1" si="14"/>
        <v>#REF!</v>
      </c>
      <c r="P112" s="88" t="e">
        <f t="shared" ca="1" si="15"/>
        <v>#REF!</v>
      </c>
      <c r="Q112" s="89" t="e">
        <f t="shared" ca="1" si="16"/>
        <v>#REF!</v>
      </c>
      <c r="R112" s="90" t="e">
        <f t="shared" ca="1" si="17"/>
        <v>#REF!</v>
      </c>
      <c r="S112" s="81"/>
      <c r="T112" s="82" t="str">
        <f>VLOOKUP(L112,[1]Upcoming!$A$5:$I$185,2,FALSE)</f>
        <v/>
      </c>
      <c r="U112" s="83" t="str">
        <f>VLOOKUP(L112,[1]Upcoming!$A$5:$I$185,3,FALSE)</f>
        <v/>
      </c>
      <c r="V112" s="84"/>
      <c r="W112" s="82" t="e">
        <f>IF(ISBLANK(VLOOKUP(I112,[1]Upcoming!$A$5:$I$185,4,FALSE)),"",VLOOKUP(I112,[1]Upcoming!$A$5:$I$185,4,FALSE))</f>
        <v>#N/A</v>
      </c>
      <c r="X112" s="83" t="e">
        <f>IF(ISBLANK(VLOOKUP(I112,[1]Upcoming!$A$5:$I$185,5,FALSE)),"",VLOOKUP(I112,[1]Upcoming!$A$5:$I$185,5,FALSE))</f>
        <v>#N/A</v>
      </c>
      <c r="Y112" s="84"/>
      <c r="Z112" s="82" t="str">
        <f>IF(ISBLANK(VLOOKUP(L112,[1]Upcoming!$A$5:$I$185,6,FALSE)),"",VLOOKUP(L112,[1]Upcoming!$A$5:$I$185,6,FALSE))</f>
        <v/>
      </c>
      <c r="AA112" s="83" t="str">
        <f>IF(ISBLANK(VLOOKUP(L112,[1]Upcoming!$A$5:$I$185,7,FALSE)),"",VLOOKUP(L112,[1]Upcoming!$A$5:$I$185,7,FALSE))</f>
        <v/>
      </c>
      <c r="AB112" s="84"/>
      <c r="AC112" s="82" t="str">
        <f>IF(ISBLANK(VLOOKUP(L112,[1]Upcoming!$A$5:$I$185,8,FALSE)),"",VLOOKUP(L112,[1]Upcoming!$A$5:$I$185,8,FALSE))</f>
        <v/>
      </c>
      <c r="AD112" s="83" t="str">
        <f>IF(ISBLANK(VLOOKUP(L112,[1]Upcoming!$A$5:$I$185,9,FALSE)),"",VLOOKUP(L112,[1]Upcoming!$A$5:$I$185,9,FALSE))</f>
        <v/>
      </c>
    </row>
    <row r="113" spans="11:30" ht="25.5" customHeight="1" thickBot="1" x14ac:dyDescent="0.3">
      <c r="K113" s="74" t="e">
        <f t="shared" ca="1" si="12"/>
        <v>#REF!</v>
      </c>
      <c r="L113" s="97" t="s">
        <v>342</v>
      </c>
      <c r="M113" s="86"/>
      <c r="N113" s="106" t="e">
        <f t="shared" ca="1" si="13"/>
        <v>#REF!</v>
      </c>
      <c r="O113" s="87" t="e">
        <f t="shared" ca="1" si="14"/>
        <v>#REF!</v>
      </c>
      <c r="P113" s="88" t="e">
        <f t="shared" ca="1" si="15"/>
        <v>#REF!</v>
      </c>
      <c r="Q113" s="89" t="e">
        <f t="shared" ca="1" si="16"/>
        <v>#REF!</v>
      </c>
      <c r="R113" s="90" t="e">
        <f t="shared" ca="1" si="17"/>
        <v>#REF!</v>
      </c>
      <c r="S113" s="81"/>
      <c r="T113" s="82" t="str">
        <f>VLOOKUP(L113,[1]Upcoming!$A$5:$I$185,2,FALSE)</f>
        <v/>
      </c>
      <c r="U113" s="83" t="str">
        <f>VLOOKUP(L113,[1]Upcoming!$A$5:$I$185,3,FALSE)</f>
        <v/>
      </c>
      <c r="V113" s="84"/>
      <c r="W113" s="82" t="e">
        <f>IF(ISBLANK(VLOOKUP(I113,[1]Upcoming!$A$5:$I$185,4,FALSE)),"",VLOOKUP(I113,[1]Upcoming!$A$5:$I$185,4,FALSE))</f>
        <v>#N/A</v>
      </c>
      <c r="X113" s="83" t="e">
        <f>IF(ISBLANK(VLOOKUP(I113,[1]Upcoming!$A$5:$I$185,5,FALSE)),"",VLOOKUP(I113,[1]Upcoming!$A$5:$I$185,5,FALSE))</f>
        <v>#N/A</v>
      </c>
      <c r="Y113" s="84"/>
      <c r="Z113" s="82" t="str">
        <f>IF(ISBLANK(VLOOKUP(L113,[1]Upcoming!$A$5:$I$185,6,FALSE)),"",VLOOKUP(L113,[1]Upcoming!$A$5:$I$185,6,FALSE))</f>
        <v/>
      </c>
      <c r="AA113" s="83" t="str">
        <f>IF(ISBLANK(VLOOKUP(L113,[1]Upcoming!$A$5:$I$185,7,FALSE)),"",VLOOKUP(L113,[1]Upcoming!$A$5:$I$185,7,FALSE))</f>
        <v/>
      </c>
      <c r="AB113" s="84"/>
      <c r="AC113" s="82" t="str">
        <f>IF(ISBLANK(VLOOKUP(L113,[1]Upcoming!$A$5:$I$185,8,FALSE)),"",VLOOKUP(L113,[1]Upcoming!$A$5:$I$185,8,FALSE))</f>
        <v/>
      </c>
      <c r="AD113" s="83" t="str">
        <f>IF(ISBLANK(VLOOKUP(L113,[1]Upcoming!$A$5:$I$185,9,FALSE)),"",VLOOKUP(L113,[1]Upcoming!$A$5:$I$185,9,FALSE))</f>
        <v/>
      </c>
    </row>
    <row r="114" spans="11:30" ht="25.5" customHeight="1" thickBot="1" x14ac:dyDescent="0.3">
      <c r="K114" s="74" t="e">
        <f t="shared" ca="1" si="12"/>
        <v>#REF!</v>
      </c>
      <c r="L114" s="97" t="s">
        <v>28</v>
      </c>
      <c r="M114" s="86"/>
      <c r="N114" s="106" t="e">
        <f t="shared" ca="1" si="13"/>
        <v>#REF!</v>
      </c>
      <c r="O114" s="87" t="e">
        <f t="shared" ca="1" si="14"/>
        <v>#REF!</v>
      </c>
      <c r="P114" s="88" t="e">
        <f t="shared" ca="1" si="15"/>
        <v>#REF!</v>
      </c>
      <c r="Q114" s="89" t="e">
        <f t="shared" ca="1" si="16"/>
        <v>#REF!</v>
      </c>
      <c r="R114" s="90" t="e">
        <f t="shared" ca="1" si="17"/>
        <v>#REF!</v>
      </c>
      <c r="S114" s="81"/>
      <c r="T114" s="82" t="str">
        <f>VLOOKUP(L114,[1]Upcoming!$A$5:$I$185,2,FALSE)</f>
        <v/>
      </c>
      <c r="U114" s="83" t="str">
        <f>VLOOKUP(L114,[1]Upcoming!$A$5:$I$185,3,FALSE)</f>
        <v/>
      </c>
      <c r="V114" s="84"/>
      <c r="W114" s="82" t="e">
        <f>IF(ISBLANK(VLOOKUP(I114,[1]Upcoming!$A$5:$I$185,4,FALSE)),"",VLOOKUP(I114,[1]Upcoming!$A$5:$I$185,4,FALSE))</f>
        <v>#N/A</v>
      </c>
      <c r="X114" s="83" t="e">
        <f>IF(ISBLANK(VLOOKUP(I114,[1]Upcoming!$A$5:$I$185,5,FALSE)),"",VLOOKUP(I114,[1]Upcoming!$A$5:$I$185,5,FALSE))</f>
        <v>#N/A</v>
      </c>
      <c r="Y114" s="84"/>
      <c r="Z114" s="82" t="str">
        <f>IF(ISBLANK(VLOOKUP(L114,[1]Upcoming!$A$5:$I$185,6,FALSE)),"",VLOOKUP(L114,[1]Upcoming!$A$5:$I$185,6,FALSE))</f>
        <v/>
      </c>
      <c r="AA114" s="83" t="str">
        <f>IF(ISBLANK(VLOOKUP(L114,[1]Upcoming!$A$5:$I$185,7,FALSE)),"",VLOOKUP(L114,[1]Upcoming!$A$5:$I$185,7,FALSE))</f>
        <v/>
      </c>
      <c r="AB114" s="84"/>
      <c r="AC114" s="82" t="str">
        <f>IF(ISBLANK(VLOOKUP(L114,[1]Upcoming!$A$5:$I$185,8,FALSE)),"",VLOOKUP(L114,[1]Upcoming!$A$5:$I$185,8,FALSE))</f>
        <v/>
      </c>
      <c r="AD114" s="83" t="str">
        <f>IF(ISBLANK(VLOOKUP(L114,[1]Upcoming!$A$5:$I$185,9,FALSE)),"",VLOOKUP(L114,[1]Upcoming!$A$5:$I$185,9,FALSE))</f>
        <v/>
      </c>
    </row>
    <row r="115" spans="11:30" ht="25.5" customHeight="1" thickBot="1" x14ac:dyDescent="0.3">
      <c r="K115" s="74" t="e">
        <f t="shared" ca="1" si="12"/>
        <v>#REF!</v>
      </c>
      <c r="L115" s="97" t="s">
        <v>35</v>
      </c>
      <c r="M115" s="86"/>
      <c r="N115" s="106" t="e">
        <f t="shared" ca="1" si="13"/>
        <v>#REF!</v>
      </c>
      <c r="O115" s="87" t="e">
        <f t="shared" ca="1" si="14"/>
        <v>#REF!</v>
      </c>
      <c r="P115" s="88" t="e">
        <f t="shared" ca="1" si="15"/>
        <v>#REF!</v>
      </c>
      <c r="Q115" s="89" t="e">
        <f t="shared" ca="1" si="16"/>
        <v>#REF!</v>
      </c>
      <c r="R115" s="111" t="e">
        <f t="shared" ca="1" si="17"/>
        <v>#REF!</v>
      </c>
      <c r="S115" s="81"/>
      <c r="T115" s="82" t="str">
        <f>VLOOKUP(L115,[1]Upcoming!$A$5:$I$185,2,FALSE)</f>
        <v/>
      </c>
      <c r="U115" s="83" t="str">
        <f>VLOOKUP(L115,[1]Upcoming!$A$5:$I$185,3,FALSE)</f>
        <v/>
      </c>
      <c r="V115" s="84"/>
      <c r="W115" s="82" t="e">
        <f>IF(ISBLANK(VLOOKUP(I115,[1]Upcoming!$A$5:$I$185,4,FALSE)),"",VLOOKUP(I115,[1]Upcoming!$A$5:$I$185,4,FALSE))</f>
        <v>#N/A</v>
      </c>
      <c r="X115" s="83" t="e">
        <f>IF(ISBLANK(VLOOKUP(I115,[1]Upcoming!$A$5:$I$185,5,FALSE)),"",VLOOKUP(I115,[1]Upcoming!$A$5:$I$185,5,FALSE))</f>
        <v>#N/A</v>
      </c>
      <c r="Y115" s="84"/>
      <c r="Z115" s="82" t="str">
        <f>IF(ISBLANK(VLOOKUP(L115,[1]Upcoming!$A$5:$I$185,6,FALSE)),"",VLOOKUP(L115,[1]Upcoming!$A$5:$I$185,6,FALSE))</f>
        <v/>
      </c>
      <c r="AA115" s="83" t="str">
        <f>IF(ISBLANK(VLOOKUP(L115,[1]Upcoming!$A$5:$I$185,7,FALSE)),"",VLOOKUP(L115,[1]Upcoming!$A$5:$I$185,7,FALSE))</f>
        <v/>
      </c>
      <c r="AB115" s="84"/>
      <c r="AC115" s="82" t="str">
        <f>IF(ISBLANK(VLOOKUP(L115,[1]Upcoming!$A$5:$I$185,8,FALSE)),"",VLOOKUP(L115,[1]Upcoming!$A$5:$I$185,8,FALSE))</f>
        <v/>
      </c>
      <c r="AD115" s="83" t="str">
        <f>IF(ISBLANK(VLOOKUP(L115,[1]Upcoming!$A$5:$I$185,9,FALSE)),"",VLOOKUP(L115,[1]Upcoming!$A$5:$I$185,9,FALSE))</f>
        <v/>
      </c>
    </row>
    <row r="116" spans="11:30" ht="25.5" customHeight="1" thickBot="1" x14ac:dyDescent="0.3">
      <c r="K116" s="74" t="e">
        <f t="shared" ref="K116:K147" ca="1" si="18">RANK(N116,$N$20:$N$200,0)</f>
        <v>#REF!</v>
      </c>
      <c r="L116" s="97" t="s">
        <v>323</v>
      </c>
      <c r="M116" s="86"/>
      <c r="N116" s="106" t="e">
        <f t="shared" ref="N116:N147" ca="1" si="19">O116+P116</f>
        <v>#REF!</v>
      </c>
      <c r="O116" s="87" t="e">
        <f t="shared" ref="O116:O147" ca="1" si="20">INDIRECT("'[summary.xls]"&amp;L116&amp;"'!$F$99")</f>
        <v>#REF!</v>
      </c>
      <c r="P116" s="88" t="e">
        <f t="shared" ref="P116:P147" ca="1" si="21">INDIRECT("'[summary.xls]"&amp;L116&amp;"'!$F$172")</f>
        <v>#REF!</v>
      </c>
      <c r="Q116" s="89" t="e">
        <f t="shared" ref="Q116:Q147" ca="1" si="22">INDIRECT("'[summary.xls]"&amp;L116&amp;"'!$L$1")</f>
        <v>#REF!</v>
      </c>
      <c r="R116" s="90" t="e">
        <f t="shared" ref="R116:R147" ca="1" si="23">INDIRECT("'[summary.xls]"&amp;L116&amp;"'!$F$218")</f>
        <v>#REF!</v>
      </c>
      <c r="S116" s="81"/>
      <c r="T116" s="82" t="str">
        <f>VLOOKUP(L116,[1]Upcoming!$A$5:$I$185,2,FALSE)</f>
        <v/>
      </c>
      <c r="U116" s="83" t="str">
        <f>VLOOKUP(L116,[1]Upcoming!$A$5:$I$185,3,FALSE)</f>
        <v/>
      </c>
      <c r="V116" s="84"/>
      <c r="W116" s="82" t="e">
        <f>IF(ISBLANK(VLOOKUP(I116,[1]Upcoming!$A$5:$I$185,4,FALSE)),"",VLOOKUP(I116,[1]Upcoming!$A$5:$I$185,4,FALSE))</f>
        <v>#N/A</v>
      </c>
      <c r="X116" s="83" t="e">
        <f>IF(ISBLANK(VLOOKUP(I116,[1]Upcoming!$A$5:$I$185,5,FALSE)),"",VLOOKUP(I116,[1]Upcoming!$A$5:$I$185,5,FALSE))</f>
        <v>#N/A</v>
      </c>
      <c r="Y116" s="84"/>
      <c r="Z116" s="82" t="str">
        <f>IF(ISBLANK(VLOOKUP(L116,[1]Upcoming!$A$5:$I$185,6,FALSE)),"",VLOOKUP(L116,[1]Upcoming!$A$5:$I$185,6,FALSE))</f>
        <v/>
      </c>
      <c r="AA116" s="83" t="str">
        <f>IF(ISBLANK(VLOOKUP(L116,[1]Upcoming!$A$5:$I$185,7,FALSE)),"",VLOOKUP(L116,[1]Upcoming!$A$5:$I$185,7,FALSE))</f>
        <v/>
      </c>
      <c r="AB116" s="84"/>
      <c r="AC116" s="82" t="str">
        <f>IF(ISBLANK(VLOOKUP(L116,[1]Upcoming!$A$5:$I$185,8,FALSE)),"",VLOOKUP(L116,[1]Upcoming!$A$5:$I$185,8,FALSE))</f>
        <v/>
      </c>
      <c r="AD116" s="83" t="str">
        <f>IF(ISBLANK(VLOOKUP(L116,[1]Upcoming!$A$5:$I$185,9,FALSE)),"",VLOOKUP(L116,[1]Upcoming!$A$5:$I$185,9,FALSE))</f>
        <v/>
      </c>
    </row>
    <row r="117" spans="11:30" ht="25.5" customHeight="1" thickBot="1" x14ac:dyDescent="0.3">
      <c r="K117" s="74" t="e">
        <f t="shared" ca="1" si="18"/>
        <v>#REF!</v>
      </c>
      <c r="L117" s="97" t="s">
        <v>310</v>
      </c>
      <c r="M117" s="86"/>
      <c r="N117" s="106" t="e">
        <f t="shared" ca="1" si="19"/>
        <v>#REF!</v>
      </c>
      <c r="O117" s="87" t="e">
        <f t="shared" ca="1" si="20"/>
        <v>#REF!</v>
      </c>
      <c r="P117" s="88" t="e">
        <f t="shared" ca="1" si="21"/>
        <v>#REF!</v>
      </c>
      <c r="Q117" s="89" t="e">
        <f t="shared" ca="1" si="22"/>
        <v>#REF!</v>
      </c>
      <c r="R117" s="90" t="e">
        <f t="shared" ca="1" si="23"/>
        <v>#REF!</v>
      </c>
      <c r="S117" s="81"/>
      <c r="T117" s="82" t="str">
        <f>VLOOKUP(L117,[1]Upcoming!$A$5:$I$185,2,FALSE)</f>
        <v/>
      </c>
      <c r="U117" s="83" t="str">
        <f>VLOOKUP(L117,[1]Upcoming!$A$5:$I$185,3,FALSE)</f>
        <v/>
      </c>
      <c r="V117" s="84"/>
      <c r="W117" s="82" t="e">
        <f>IF(ISBLANK(VLOOKUP(I117,[1]Upcoming!$A$5:$I$185,4,FALSE)),"",VLOOKUP(I117,[1]Upcoming!$A$5:$I$185,4,FALSE))</f>
        <v>#N/A</v>
      </c>
      <c r="X117" s="83" t="e">
        <f>IF(ISBLANK(VLOOKUP(I117,[1]Upcoming!$A$5:$I$185,5,FALSE)),"",VLOOKUP(I117,[1]Upcoming!$A$5:$I$185,5,FALSE))</f>
        <v>#N/A</v>
      </c>
      <c r="Y117" s="84"/>
      <c r="Z117" s="82" t="str">
        <f>IF(ISBLANK(VLOOKUP(L117,[1]Upcoming!$A$5:$I$185,6,FALSE)),"",VLOOKUP(L117,[1]Upcoming!$A$5:$I$185,6,FALSE))</f>
        <v/>
      </c>
      <c r="AA117" s="83" t="str">
        <f>IF(ISBLANK(VLOOKUP(L117,[1]Upcoming!$A$5:$I$185,7,FALSE)),"",VLOOKUP(L117,[1]Upcoming!$A$5:$I$185,7,FALSE))</f>
        <v/>
      </c>
      <c r="AB117" s="84"/>
      <c r="AC117" s="82" t="str">
        <f>IF(ISBLANK(VLOOKUP(L117,[1]Upcoming!$A$5:$I$185,8,FALSE)),"",VLOOKUP(L117,[1]Upcoming!$A$5:$I$185,8,FALSE))</f>
        <v/>
      </c>
      <c r="AD117" s="83" t="str">
        <f>IF(ISBLANK(VLOOKUP(L117,[1]Upcoming!$A$5:$I$185,9,FALSE)),"",VLOOKUP(L117,[1]Upcoming!$A$5:$I$185,9,FALSE))</f>
        <v/>
      </c>
    </row>
    <row r="118" spans="11:30" ht="25.5" customHeight="1" thickBot="1" x14ac:dyDescent="0.3">
      <c r="K118" s="74" t="e">
        <f t="shared" ca="1" si="18"/>
        <v>#REF!</v>
      </c>
      <c r="L118" s="97" t="s">
        <v>271</v>
      </c>
      <c r="M118" s="86"/>
      <c r="N118" s="106" t="e">
        <f t="shared" ca="1" si="19"/>
        <v>#REF!</v>
      </c>
      <c r="O118" s="87" t="e">
        <f t="shared" ca="1" si="20"/>
        <v>#REF!</v>
      </c>
      <c r="P118" s="88" t="e">
        <f t="shared" ca="1" si="21"/>
        <v>#REF!</v>
      </c>
      <c r="Q118" s="89" t="e">
        <f t="shared" ca="1" si="22"/>
        <v>#REF!</v>
      </c>
      <c r="R118" s="90" t="e">
        <f t="shared" ca="1" si="23"/>
        <v>#REF!</v>
      </c>
      <c r="S118" s="81"/>
      <c r="T118" s="82" t="str">
        <f>VLOOKUP(L118,[1]Upcoming!$A$5:$I$185,2,FALSE)</f>
        <v/>
      </c>
      <c r="U118" s="83" t="str">
        <f>VLOOKUP(L118,[1]Upcoming!$A$5:$I$185,3,FALSE)</f>
        <v/>
      </c>
      <c r="V118" s="84"/>
      <c r="W118" s="82" t="e">
        <f>IF(ISBLANK(VLOOKUP(I118,[1]Upcoming!$A$5:$I$185,4,FALSE)),"",VLOOKUP(I118,[1]Upcoming!$A$5:$I$185,4,FALSE))</f>
        <v>#N/A</v>
      </c>
      <c r="X118" s="83" t="e">
        <f>IF(ISBLANK(VLOOKUP(I118,[1]Upcoming!$A$5:$I$185,5,FALSE)),"",VLOOKUP(I118,[1]Upcoming!$A$5:$I$185,5,FALSE))</f>
        <v>#N/A</v>
      </c>
      <c r="Y118" s="84"/>
      <c r="Z118" s="82" t="str">
        <f>IF(ISBLANK(VLOOKUP(L118,[1]Upcoming!$A$5:$I$185,6,FALSE)),"",VLOOKUP(L118,[1]Upcoming!$A$5:$I$185,6,FALSE))</f>
        <v/>
      </c>
      <c r="AA118" s="83" t="str">
        <f>IF(ISBLANK(VLOOKUP(L118,[1]Upcoming!$A$5:$I$185,7,FALSE)),"",VLOOKUP(L118,[1]Upcoming!$A$5:$I$185,7,FALSE))</f>
        <v/>
      </c>
      <c r="AB118" s="84"/>
      <c r="AC118" s="82" t="str">
        <f>IF(ISBLANK(VLOOKUP(L118,[1]Upcoming!$A$5:$I$185,8,FALSE)),"",VLOOKUP(L118,[1]Upcoming!$A$5:$I$185,8,FALSE))</f>
        <v/>
      </c>
      <c r="AD118" s="83" t="str">
        <f>IF(ISBLANK(VLOOKUP(L118,[1]Upcoming!$A$5:$I$185,9,FALSE)),"",VLOOKUP(L118,[1]Upcoming!$A$5:$I$185,9,FALSE))</f>
        <v/>
      </c>
    </row>
    <row r="119" spans="11:30" ht="25.5" customHeight="1" thickBot="1" x14ac:dyDescent="0.3">
      <c r="K119" s="74" t="e">
        <f t="shared" ca="1" si="18"/>
        <v>#REF!</v>
      </c>
      <c r="L119" s="97" t="s">
        <v>306</v>
      </c>
      <c r="M119" s="86"/>
      <c r="N119" s="106" t="e">
        <f t="shared" ca="1" si="19"/>
        <v>#REF!</v>
      </c>
      <c r="O119" s="87" t="e">
        <f t="shared" ca="1" si="20"/>
        <v>#REF!</v>
      </c>
      <c r="P119" s="88" t="e">
        <f t="shared" ca="1" si="21"/>
        <v>#REF!</v>
      </c>
      <c r="Q119" s="89" t="e">
        <f t="shared" ca="1" si="22"/>
        <v>#REF!</v>
      </c>
      <c r="R119" s="90" t="e">
        <f t="shared" ca="1" si="23"/>
        <v>#REF!</v>
      </c>
      <c r="S119" s="81"/>
      <c r="T119" s="82" t="str">
        <f>VLOOKUP(L119,[1]Upcoming!$A$5:$I$185,2,FALSE)</f>
        <v/>
      </c>
      <c r="U119" s="83" t="str">
        <f>VLOOKUP(L119,[1]Upcoming!$A$5:$I$185,3,FALSE)</f>
        <v/>
      </c>
      <c r="V119" s="84"/>
      <c r="W119" s="82" t="e">
        <f>IF(ISBLANK(VLOOKUP(I119,[1]Upcoming!$A$5:$I$185,4,FALSE)),"",VLOOKUP(I119,[1]Upcoming!$A$5:$I$185,4,FALSE))</f>
        <v>#N/A</v>
      </c>
      <c r="X119" s="83" t="e">
        <f>IF(ISBLANK(VLOOKUP(I119,[1]Upcoming!$A$5:$I$185,5,FALSE)),"",VLOOKUP(I119,[1]Upcoming!$A$5:$I$185,5,FALSE))</f>
        <v>#N/A</v>
      </c>
      <c r="Y119" s="84"/>
      <c r="Z119" s="82" t="str">
        <f>IF(ISBLANK(VLOOKUP(L119,[1]Upcoming!$A$5:$I$185,6,FALSE)),"",VLOOKUP(L119,[1]Upcoming!$A$5:$I$185,6,FALSE))</f>
        <v/>
      </c>
      <c r="AA119" s="83" t="str">
        <f>IF(ISBLANK(VLOOKUP(L119,[1]Upcoming!$A$5:$I$185,7,FALSE)),"",VLOOKUP(L119,[1]Upcoming!$A$5:$I$185,7,FALSE))</f>
        <v/>
      </c>
      <c r="AB119" s="84"/>
      <c r="AC119" s="82" t="str">
        <f>IF(ISBLANK(VLOOKUP(L119,[1]Upcoming!$A$5:$I$185,8,FALSE)),"",VLOOKUP(L119,[1]Upcoming!$A$5:$I$185,8,FALSE))</f>
        <v/>
      </c>
      <c r="AD119" s="83" t="str">
        <f>IF(ISBLANK(VLOOKUP(L119,[1]Upcoming!$A$5:$I$185,9,FALSE)),"",VLOOKUP(L119,[1]Upcoming!$A$5:$I$185,9,FALSE))</f>
        <v/>
      </c>
    </row>
    <row r="120" spans="11:30" ht="25.5" customHeight="1" thickBot="1" x14ac:dyDescent="0.3">
      <c r="K120" s="74" t="e">
        <f t="shared" ca="1" si="18"/>
        <v>#REF!</v>
      </c>
      <c r="L120" s="97" t="s">
        <v>256</v>
      </c>
      <c r="M120" s="86"/>
      <c r="N120" s="106" t="e">
        <f t="shared" ca="1" si="19"/>
        <v>#REF!</v>
      </c>
      <c r="O120" s="87" t="e">
        <f t="shared" ca="1" si="20"/>
        <v>#REF!</v>
      </c>
      <c r="P120" s="88" t="e">
        <f t="shared" ca="1" si="21"/>
        <v>#REF!</v>
      </c>
      <c r="Q120" s="89" t="e">
        <f t="shared" ca="1" si="22"/>
        <v>#REF!</v>
      </c>
      <c r="R120" s="111" t="e">
        <f t="shared" ca="1" si="23"/>
        <v>#REF!</v>
      </c>
      <c r="S120" s="81"/>
      <c r="T120" s="82" t="str">
        <f>VLOOKUP(L120,[1]Upcoming!$A$5:$I$185,2,FALSE)</f>
        <v/>
      </c>
      <c r="U120" s="83" t="str">
        <f>VLOOKUP(L120,[1]Upcoming!$A$5:$I$185,3,FALSE)</f>
        <v/>
      </c>
      <c r="V120" s="84"/>
      <c r="W120" s="82" t="e">
        <f>IF(ISBLANK(VLOOKUP(I120,[1]Upcoming!$A$5:$I$185,4,FALSE)),"",VLOOKUP(I120,[1]Upcoming!$A$5:$I$185,4,FALSE))</f>
        <v>#N/A</v>
      </c>
      <c r="X120" s="83" t="e">
        <f>IF(ISBLANK(VLOOKUP(I120,[1]Upcoming!$A$5:$I$185,5,FALSE)),"",VLOOKUP(I120,[1]Upcoming!$A$5:$I$185,5,FALSE))</f>
        <v>#N/A</v>
      </c>
      <c r="Y120" s="84"/>
      <c r="Z120" s="82" t="str">
        <f>IF(ISBLANK(VLOOKUP(L120,[1]Upcoming!$A$5:$I$185,6,FALSE)),"",VLOOKUP(L120,[1]Upcoming!$A$5:$I$185,6,FALSE))</f>
        <v/>
      </c>
      <c r="AA120" s="83" t="str">
        <f>IF(ISBLANK(VLOOKUP(L120,[1]Upcoming!$A$5:$I$185,7,FALSE)),"",VLOOKUP(L120,[1]Upcoming!$A$5:$I$185,7,FALSE))</f>
        <v/>
      </c>
      <c r="AB120" s="84"/>
      <c r="AC120" s="82" t="str">
        <f>IF(ISBLANK(VLOOKUP(L120,[1]Upcoming!$A$5:$I$185,8,FALSE)),"",VLOOKUP(L120,[1]Upcoming!$A$5:$I$185,8,FALSE))</f>
        <v/>
      </c>
      <c r="AD120" s="83" t="str">
        <f>IF(ISBLANK(VLOOKUP(L120,[1]Upcoming!$A$5:$I$185,9,FALSE)),"",VLOOKUP(L120,[1]Upcoming!$A$5:$I$185,9,FALSE))</f>
        <v/>
      </c>
    </row>
    <row r="121" spans="11:30" ht="25.5" customHeight="1" thickBot="1" x14ac:dyDescent="0.3">
      <c r="K121" s="74" t="e">
        <f t="shared" ca="1" si="18"/>
        <v>#REF!</v>
      </c>
      <c r="L121" s="97" t="s">
        <v>349</v>
      </c>
      <c r="M121" s="86"/>
      <c r="N121" s="106" t="e">
        <f t="shared" ca="1" si="19"/>
        <v>#REF!</v>
      </c>
      <c r="O121" s="87" t="e">
        <f t="shared" ca="1" si="20"/>
        <v>#REF!</v>
      </c>
      <c r="P121" s="88" t="e">
        <f t="shared" ca="1" si="21"/>
        <v>#REF!</v>
      </c>
      <c r="Q121" s="89" t="e">
        <f t="shared" ca="1" si="22"/>
        <v>#REF!</v>
      </c>
      <c r="R121" s="90" t="e">
        <f t="shared" ca="1" si="23"/>
        <v>#REF!</v>
      </c>
      <c r="S121" s="81"/>
      <c r="T121" s="82" t="str">
        <f>VLOOKUP(L121,[1]Upcoming!$A$5:$I$185,2,FALSE)</f>
        <v/>
      </c>
      <c r="U121" s="83" t="str">
        <f>VLOOKUP(L121,[1]Upcoming!$A$5:$I$185,3,FALSE)</f>
        <v/>
      </c>
      <c r="V121" s="84"/>
      <c r="W121" s="82" t="e">
        <f>IF(ISBLANK(VLOOKUP(I121,[1]Upcoming!$A$5:$I$185,4,FALSE)),"",VLOOKUP(I121,[1]Upcoming!$A$5:$I$185,4,FALSE))</f>
        <v>#N/A</v>
      </c>
      <c r="X121" s="83" t="e">
        <f>IF(ISBLANK(VLOOKUP(I121,[1]Upcoming!$A$5:$I$185,5,FALSE)),"",VLOOKUP(I121,[1]Upcoming!$A$5:$I$185,5,FALSE))</f>
        <v>#N/A</v>
      </c>
      <c r="Y121" s="84"/>
      <c r="Z121" s="82" t="str">
        <f>IF(ISBLANK(VLOOKUP(L121,[1]Upcoming!$A$5:$I$185,6,FALSE)),"",VLOOKUP(L121,[1]Upcoming!$A$5:$I$185,6,FALSE))</f>
        <v/>
      </c>
      <c r="AA121" s="83" t="str">
        <f>IF(ISBLANK(VLOOKUP(L121,[1]Upcoming!$A$5:$I$185,7,FALSE)),"",VLOOKUP(L121,[1]Upcoming!$A$5:$I$185,7,FALSE))</f>
        <v/>
      </c>
      <c r="AB121" s="84"/>
      <c r="AC121" s="82" t="str">
        <f>IF(ISBLANK(VLOOKUP(L121,[1]Upcoming!$A$5:$I$185,8,FALSE)),"",VLOOKUP(L121,[1]Upcoming!$A$5:$I$185,8,FALSE))</f>
        <v/>
      </c>
      <c r="AD121" s="83" t="str">
        <f>IF(ISBLANK(VLOOKUP(L121,[1]Upcoming!$A$5:$I$185,9,FALSE)),"",VLOOKUP(L121,[1]Upcoming!$A$5:$I$185,9,FALSE))</f>
        <v/>
      </c>
    </row>
    <row r="122" spans="11:30" ht="25.5" customHeight="1" thickBot="1" x14ac:dyDescent="0.3">
      <c r="K122" s="74" t="e">
        <f t="shared" ca="1" si="18"/>
        <v>#REF!</v>
      </c>
      <c r="L122" s="97" t="s">
        <v>26</v>
      </c>
      <c r="M122" s="86"/>
      <c r="N122" s="106" t="e">
        <f t="shared" ca="1" si="19"/>
        <v>#REF!</v>
      </c>
      <c r="O122" s="87" t="e">
        <f t="shared" ca="1" si="20"/>
        <v>#REF!</v>
      </c>
      <c r="P122" s="88" t="e">
        <f t="shared" ca="1" si="21"/>
        <v>#REF!</v>
      </c>
      <c r="Q122" s="89" t="e">
        <f t="shared" ca="1" si="22"/>
        <v>#REF!</v>
      </c>
      <c r="R122" s="90" t="e">
        <f t="shared" ca="1" si="23"/>
        <v>#REF!</v>
      </c>
      <c r="S122" s="81"/>
      <c r="T122" s="82" t="str">
        <f>VLOOKUP(L122,[1]Upcoming!$A$5:$I$185,2,FALSE)</f>
        <v/>
      </c>
      <c r="U122" s="83" t="str">
        <f>VLOOKUP(L122,[1]Upcoming!$A$5:$I$185,3,FALSE)</f>
        <v/>
      </c>
      <c r="V122" s="84"/>
      <c r="W122" s="82" t="e">
        <f>IF(ISBLANK(VLOOKUP(I122,[1]Upcoming!$A$5:$I$185,4,FALSE)),"",VLOOKUP(I122,[1]Upcoming!$A$5:$I$185,4,FALSE))</f>
        <v>#N/A</v>
      </c>
      <c r="X122" s="83" t="e">
        <f>IF(ISBLANK(VLOOKUP(I122,[1]Upcoming!$A$5:$I$185,5,FALSE)),"",VLOOKUP(I122,[1]Upcoming!$A$5:$I$185,5,FALSE))</f>
        <v>#N/A</v>
      </c>
      <c r="Y122" s="84"/>
      <c r="Z122" s="82" t="str">
        <f>IF(ISBLANK(VLOOKUP(L122,[1]Upcoming!$A$5:$I$185,6,FALSE)),"",VLOOKUP(L122,[1]Upcoming!$A$5:$I$185,6,FALSE))</f>
        <v/>
      </c>
      <c r="AA122" s="83" t="str">
        <f>IF(ISBLANK(VLOOKUP(L122,[1]Upcoming!$A$5:$I$185,7,FALSE)),"",VLOOKUP(L122,[1]Upcoming!$A$5:$I$185,7,FALSE))</f>
        <v/>
      </c>
      <c r="AB122" s="84"/>
      <c r="AC122" s="82" t="str">
        <f>IF(ISBLANK(VLOOKUP(L122,[1]Upcoming!$A$5:$I$185,8,FALSE)),"",VLOOKUP(L122,[1]Upcoming!$A$5:$I$185,8,FALSE))</f>
        <v/>
      </c>
      <c r="AD122" s="83" t="str">
        <f>IF(ISBLANK(VLOOKUP(L122,[1]Upcoming!$A$5:$I$185,9,FALSE)),"",VLOOKUP(L122,[1]Upcoming!$A$5:$I$185,9,FALSE))</f>
        <v/>
      </c>
    </row>
    <row r="123" spans="11:30" ht="25.5" customHeight="1" thickBot="1" x14ac:dyDescent="0.3">
      <c r="K123" s="74" t="e">
        <f t="shared" ca="1" si="18"/>
        <v>#REF!</v>
      </c>
      <c r="L123" s="97" t="s">
        <v>290</v>
      </c>
      <c r="M123" s="86"/>
      <c r="N123" s="106" t="e">
        <f t="shared" ca="1" si="19"/>
        <v>#REF!</v>
      </c>
      <c r="O123" s="87" t="e">
        <f t="shared" ca="1" si="20"/>
        <v>#REF!</v>
      </c>
      <c r="P123" s="88" t="e">
        <f t="shared" ca="1" si="21"/>
        <v>#REF!</v>
      </c>
      <c r="Q123" s="89" t="e">
        <f t="shared" ca="1" si="22"/>
        <v>#REF!</v>
      </c>
      <c r="R123" s="111" t="e">
        <f t="shared" ca="1" si="23"/>
        <v>#REF!</v>
      </c>
      <c r="S123" s="81"/>
      <c r="T123" s="82" t="str">
        <f>VLOOKUP(L123,[1]Upcoming!$A$5:$I$185,2,FALSE)</f>
        <v/>
      </c>
      <c r="U123" s="83" t="str">
        <f>VLOOKUP(L123,[1]Upcoming!$A$5:$I$185,3,FALSE)</f>
        <v/>
      </c>
      <c r="V123" s="84"/>
      <c r="W123" s="82" t="e">
        <f>IF(ISBLANK(VLOOKUP(I123,[1]Upcoming!$A$5:$I$185,4,FALSE)),"",VLOOKUP(I123,[1]Upcoming!$A$5:$I$185,4,FALSE))</f>
        <v>#N/A</v>
      </c>
      <c r="X123" s="83" t="e">
        <f>IF(ISBLANK(VLOOKUP(I123,[1]Upcoming!$A$5:$I$185,5,FALSE)),"",VLOOKUP(I123,[1]Upcoming!$A$5:$I$185,5,FALSE))</f>
        <v>#N/A</v>
      </c>
      <c r="Y123" s="84"/>
      <c r="Z123" s="82" t="str">
        <f>IF(ISBLANK(VLOOKUP(L123,[1]Upcoming!$A$5:$I$185,6,FALSE)),"",VLOOKUP(L123,[1]Upcoming!$A$5:$I$185,6,FALSE))</f>
        <v/>
      </c>
      <c r="AA123" s="83" t="str">
        <f>IF(ISBLANK(VLOOKUP(L123,[1]Upcoming!$A$5:$I$185,7,FALSE)),"",VLOOKUP(L123,[1]Upcoming!$A$5:$I$185,7,FALSE))</f>
        <v/>
      </c>
      <c r="AB123" s="84"/>
      <c r="AC123" s="82" t="str">
        <f>IF(ISBLANK(VLOOKUP(L123,[1]Upcoming!$A$5:$I$185,8,FALSE)),"",VLOOKUP(L123,[1]Upcoming!$A$5:$I$185,8,FALSE))</f>
        <v/>
      </c>
      <c r="AD123" s="83" t="str">
        <f>IF(ISBLANK(VLOOKUP(L123,[1]Upcoming!$A$5:$I$185,9,FALSE)),"",VLOOKUP(L123,[1]Upcoming!$A$5:$I$185,9,FALSE))</f>
        <v/>
      </c>
    </row>
    <row r="124" spans="11:30" ht="25.5" customHeight="1" thickBot="1" x14ac:dyDescent="0.3">
      <c r="K124" s="74" t="e">
        <f t="shared" ca="1" si="18"/>
        <v>#REF!</v>
      </c>
      <c r="L124" s="97" t="s">
        <v>259</v>
      </c>
      <c r="M124" s="86"/>
      <c r="N124" s="106" t="e">
        <f t="shared" ca="1" si="19"/>
        <v>#REF!</v>
      </c>
      <c r="O124" s="87" t="e">
        <f t="shared" ca="1" si="20"/>
        <v>#REF!</v>
      </c>
      <c r="P124" s="88" t="e">
        <f t="shared" ca="1" si="21"/>
        <v>#REF!</v>
      </c>
      <c r="Q124" s="89" t="e">
        <f t="shared" ca="1" si="22"/>
        <v>#REF!</v>
      </c>
      <c r="R124" s="90" t="e">
        <f t="shared" ca="1" si="23"/>
        <v>#REF!</v>
      </c>
      <c r="S124" s="81"/>
      <c r="T124" s="82" t="str">
        <f>VLOOKUP(L124,[1]Upcoming!$A$5:$I$185,2,FALSE)</f>
        <v/>
      </c>
      <c r="U124" s="83" t="str">
        <f>VLOOKUP(L124,[1]Upcoming!$A$5:$I$185,3,FALSE)</f>
        <v/>
      </c>
      <c r="V124" s="84"/>
      <c r="W124" s="82" t="e">
        <f>IF(ISBLANK(VLOOKUP(I124,[1]Upcoming!$A$5:$I$185,4,FALSE)),"",VLOOKUP(I124,[1]Upcoming!$A$5:$I$185,4,FALSE))</f>
        <v>#N/A</v>
      </c>
      <c r="X124" s="83" t="e">
        <f>IF(ISBLANK(VLOOKUP(I124,[1]Upcoming!$A$5:$I$185,5,FALSE)),"",VLOOKUP(I124,[1]Upcoming!$A$5:$I$185,5,FALSE))</f>
        <v>#N/A</v>
      </c>
      <c r="Y124" s="84"/>
      <c r="Z124" s="82" t="str">
        <f>IF(ISBLANK(VLOOKUP(L124,[1]Upcoming!$A$5:$I$185,6,FALSE)),"",VLOOKUP(L124,[1]Upcoming!$A$5:$I$185,6,FALSE))</f>
        <v/>
      </c>
      <c r="AA124" s="83" t="str">
        <f>IF(ISBLANK(VLOOKUP(L124,[1]Upcoming!$A$5:$I$185,7,FALSE)),"",VLOOKUP(L124,[1]Upcoming!$A$5:$I$185,7,FALSE))</f>
        <v/>
      </c>
      <c r="AB124" s="84"/>
      <c r="AC124" s="82" t="str">
        <f>IF(ISBLANK(VLOOKUP(L124,[1]Upcoming!$A$5:$I$185,8,FALSE)),"",VLOOKUP(L124,[1]Upcoming!$A$5:$I$185,8,FALSE))</f>
        <v/>
      </c>
      <c r="AD124" s="83" t="str">
        <f>IF(ISBLANK(VLOOKUP(L124,[1]Upcoming!$A$5:$I$185,9,FALSE)),"",VLOOKUP(L124,[1]Upcoming!$A$5:$I$185,9,FALSE))</f>
        <v/>
      </c>
    </row>
    <row r="125" spans="11:30" ht="25.5" customHeight="1" thickBot="1" x14ac:dyDescent="0.3">
      <c r="K125" s="74" t="e">
        <f t="shared" ca="1" si="18"/>
        <v>#REF!</v>
      </c>
      <c r="L125" s="97" t="s">
        <v>17</v>
      </c>
      <c r="M125" s="86"/>
      <c r="N125" s="106" t="e">
        <f t="shared" ca="1" si="19"/>
        <v>#REF!</v>
      </c>
      <c r="O125" s="87" t="e">
        <f t="shared" ca="1" si="20"/>
        <v>#REF!</v>
      </c>
      <c r="P125" s="88" t="e">
        <f t="shared" ca="1" si="21"/>
        <v>#REF!</v>
      </c>
      <c r="Q125" s="89" t="e">
        <f t="shared" ca="1" si="22"/>
        <v>#REF!</v>
      </c>
      <c r="R125" s="90" t="e">
        <f t="shared" ca="1" si="23"/>
        <v>#REF!</v>
      </c>
      <c r="S125" s="81"/>
      <c r="T125" s="82" t="str">
        <f>VLOOKUP(L125,[1]Upcoming!$A$5:$I$185,2,FALSE)</f>
        <v/>
      </c>
      <c r="U125" s="83" t="str">
        <f>VLOOKUP(L125,[1]Upcoming!$A$5:$I$185,3,FALSE)</f>
        <v/>
      </c>
      <c r="V125" s="84"/>
      <c r="W125" s="82" t="e">
        <f>IF(ISBLANK(VLOOKUP(I125,[1]Upcoming!$A$5:$I$185,4,FALSE)),"",VLOOKUP(I125,[1]Upcoming!$A$5:$I$185,4,FALSE))</f>
        <v>#N/A</v>
      </c>
      <c r="X125" s="83" t="e">
        <f>IF(ISBLANK(VLOOKUP(I125,[1]Upcoming!$A$5:$I$185,5,FALSE)),"",VLOOKUP(I125,[1]Upcoming!$A$5:$I$185,5,FALSE))</f>
        <v>#N/A</v>
      </c>
      <c r="Y125" s="84"/>
      <c r="Z125" s="82" t="str">
        <f>IF(ISBLANK(VLOOKUP(L125,[1]Upcoming!$A$5:$I$185,6,FALSE)),"",VLOOKUP(L125,[1]Upcoming!$A$5:$I$185,6,FALSE))</f>
        <v/>
      </c>
      <c r="AA125" s="83" t="str">
        <f>IF(ISBLANK(VLOOKUP(L125,[1]Upcoming!$A$5:$I$185,7,FALSE)),"",VLOOKUP(L125,[1]Upcoming!$A$5:$I$185,7,FALSE))</f>
        <v/>
      </c>
      <c r="AB125" s="84"/>
      <c r="AC125" s="82" t="str">
        <f>IF(ISBLANK(VLOOKUP(L125,[1]Upcoming!$A$5:$I$185,8,FALSE)),"",VLOOKUP(L125,[1]Upcoming!$A$5:$I$185,8,FALSE))</f>
        <v/>
      </c>
      <c r="AD125" s="83" t="str">
        <f>IF(ISBLANK(VLOOKUP(L125,[1]Upcoming!$A$5:$I$185,9,FALSE)),"",VLOOKUP(L125,[1]Upcoming!$A$5:$I$185,9,FALSE))</f>
        <v/>
      </c>
    </row>
    <row r="126" spans="11:30" ht="25.5" customHeight="1" thickBot="1" x14ac:dyDescent="0.3">
      <c r="K126" s="74" t="e">
        <f t="shared" ca="1" si="18"/>
        <v>#REF!</v>
      </c>
      <c r="L126" s="97" t="s">
        <v>289</v>
      </c>
      <c r="M126" s="86"/>
      <c r="N126" s="106" t="e">
        <f t="shared" ca="1" si="19"/>
        <v>#REF!</v>
      </c>
      <c r="O126" s="87" t="e">
        <f t="shared" ca="1" si="20"/>
        <v>#REF!</v>
      </c>
      <c r="P126" s="88" t="e">
        <f t="shared" ca="1" si="21"/>
        <v>#REF!</v>
      </c>
      <c r="Q126" s="89" t="e">
        <f t="shared" ca="1" si="22"/>
        <v>#REF!</v>
      </c>
      <c r="R126" s="90" t="e">
        <f t="shared" ca="1" si="23"/>
        <v>#REF!</v>
      </c>
      <c r="S126" s="81"/>
      <c r="T126" s="82" t="str">
        <f>VLOOKUP(L126,[1]Upcoming!$A$5:$I$185,2,FALSE)</f>
        <v/>
      </c>
      <c r="U126" s="83" t="str">
        <f>VLOOKUP(L126,[1]Upcoming!$A$5:$I$185,3,FALSE)</f>
        <v/>
      </c>
      <c r="V126" s="84"/>
      <c r="W126" s="82" t="e">
        <f>IF(ISBLANK(VLOOKUP(I126,[1]Upcoming!$A$5:$I$185,4,FALSE)),"",VLOOKUP(I126,[1]Upcoming!$A$5:$I$185,4,FALSE))</f>
        <v>#N/A</v>
      </c>
      <c r="X126" s="83" t="e">
        <f>IF(ISBLANK(VLOOKUP(I126,[1]Upcoming!$A$5:$I$185,5,FALSE)),"",VLOOKUP(I126,[1]Upcoming!$A$5:$I$185,5,FALSE))</f>
        <v>#N/A</v>
      </c>
      <c r="Y126" s="84"/>
      <c r="Z126" s="82" t="str">
        <f>IF(ISBLANK(VLOOKUP(L126,[1]Upcoming!$A$5:$I$185,6,FALSE)),"",VLOOKUP(L126,[1]Upcoming!$A$5:$I$185,6,FALSE))</f>
        <v/>
      </c>
      <c r="AA126" s="83" t="str">
        <f>IF(ISBLANK(VLOOKUP(L126,[1]Upcoming!$A$5:$I$185,7,FALSE)),"",VLOOKUP(L126,[1]Upcoming!$A$5:$I$185,7,FALSE))</f>
        <v/>
      </c>
      <c r="AB126" s="84"/>
      <c r="AC126" s="82" t="str">
        <f>IF(ISBLANK(VLOOKUP(L126,[1]Upcoming!$A$5:$I$185,8,FALSE)),"",VLOOKUP(L126,[1]Upcoming!$A$5:$I$185,8,FALSE))</f>
        <v/>
      </c>
      <c r="AD126" s="83" t="str">
        <f>IF(ISBLANK(VLOOKUP(L126,[1]Upcoming!$A$5:$I$185,9,FALSE)),"",VLOOKUP(L126,[1]Upcoming!$A$5:$I$185,9,FALSE))</f>
        <v/>
      </c>
    </row>
    <row r="127" spans="11:30" ht="25.5" customHeight="1" thickBot="1" x14ac:dyDescent="0.3">
      <c r="K127" s="74" t="e">
        <f t="shared" ca="1" si="18"/>
        <v>#REF!</v>
      </c>
      <c r="L127" s="97" t="s">
        <v>299</v>
      </c>
      <c r="M127" s="86"/>
      <c r="N127" s="106" t="e">
        <f t="shared" ca="1" si="19"/>
        <v>#REF!</v>
      </c>
      <c r="O127" s="87" t="e">
        <f t="shared" ca="1" si="20"/>
        <v>#REF!</v>
      </c>
      <c r="P127" s="88" t="e">
        <f t="shared" ca="1" si="21"/>
        <v>#REF!</v>
      </c>
      <c r="Q127" s="89" t="e">
        <f t="shared" ca="1" si="22"/>
        <v>#REF!</v>
      </c>
      <c r="R127" s="111" t="e">
        <f t="shared" ca="1" si="23"/>
        <v>#REF!</v>
      </c>
      <c r="S127" s="81"/>
      <c r="T127" s="82" t="str">
        <f>VLOOKUP(L127,[1]Upcoming!$A$5:$I$185,2,FALSE)</f>
        <v/>
      </c>
      <c r="U127" s="83" t="str">
        <f>VLOOKUP(L127,[1]Upcoming!$A$5:$I$185,3,FALSE)</f>
        <v/>
      </c>
      <c r="V127" s="84"/>
      <c r="W127" s="82" t="e">
        <f>IF(ISBLANK(VLOOKUP(I127,[1]Upcoming!$A$5:$I$185,4,FALSE)),"",VLOOKUP(I127,[1]Upcoming!$A$5:$I$185,4,FALSE))</f>
        <v>#N/A</v>
      </c>
      <c r="X127" s="83" t="e">
        <f>IF(ISBLANK(VLOOKUP(I127,[1]Upcoming!$A$5:$I$185,5,FALSE)),"",VLOOKUP(I127,[1]Upcoming!$A$5:$I$185,5,FALSE))</f>
        <v>#N/A</v>
      </c>
      <c r="Y127" s="84"/>
      <c r="Z127" s="82" t="str">
        <f>IF(ISBLANK(VLOOKUP(L127,[1]Upcoming!$A$5:$I$185,6,FALSE)),"",VLOOKUP(L127,[1]Upcoming!$A$5:$I$185,6,FALSE))</f>
        <v/>
      </c>
      <c r="AA127" s="83" t="str">
        <f>IF(ISBLANK(VLOOKUP(L127,[1]Upcoming!$A$5:$I$185,7,FALSE)),"",VLOOKUP(L127,[1]Upcoming!$A$5:$I$185,7,FALSE))</f>
        <v/>
      </c>
      <c r="AB127" s="84"/>
      <c r="AC127" s="82" t="str">
        <f>IF(ISBLANK(VLOOKUP(L127,[1]Upcoming!$A$5:$I$185,8,FALSE)),"",VLOOKUP(L127,[1]Upcoming!$A$5:$I$185,8,FALSE))</f>
        <v/>
      </c>
      <c r="AD127" s="83" t="str">
        <f>IF(ISBLANK(VLOOKUP(L127,[1]Upcoming!$A$5:$I$185,9,FALSE)),"",VLOOKUP(L127,[1]Upcoming!$A$5:$I$185,9,FALSE))</f>
        <v/>
      </c>
    </row>
    <row r="128" spans="11:30" ht="25.5" customHeight="1" thickBot="1" x14ac:dyDescent="0.3">
      <c r="K128" s="74" t="e">
        <f t="shared" ca="1" si="18"/>
        <v>#REF!</v>
      </c>
      <c r="L128" s="97" t="s">
        <v>251</v>
      </c>
      <c r="M128" s="86"/>
      <c r="N128" s="106" t="e">
        <f t="shared" ca="1" si="19"/>
        <v>#REF!</v>
      </c>
      <c r="O128" s="87" t="e">
        <f t="shared" ca="1" si="20"/>
        <v>#REF!</v>
      </c>
      <c r="P128" s="88" t="e">
        <f t="shared" ca="1" si="21"/>
        <v>#REF!</v>
      </c>
      <c r="Q128" s="89" t="e">
        <f t="shared" ca="1" si="22"/>
        <v>#REF!</v>
      </c>
      <c r="R128" s="90" t="e">
        <f t="shared" ca="1" si="23"/>
        <v>#REF!</v>
      </c>
      <c r="S128" s="81"/>
      <c r="T128" s="82" t="str">
        <f>VLOOKUP(L128,[1]Upcoming!$A$5:$I$185,2,FALSE)</f>
        <v/>
      </c>
      <c r="U128" s="83" t="str">
        <f>VLOOKUP(L128,[1]Upcoming!$A$5:$I$185,3,FALSE)</f>
        <v/>
      </c>
      <c r="V128" s="84"/>
      <c r="W128" s="82" t="e">
        <f>IF(ISBLANK(VLOOKUP(I128,[1]Upcoming!$A$5:$I$185,4,FALSE)),"",VLOOKUP(I128,[1]Upcoming!$A$5:$I$185,4,FALSE))</f>
        <v>#N/A</v>
      </c>
      <c r="X128" s="83" t="e">
        <f>IF(ISBLANK(VLOOKUP(I128,[1]Upcoming!$A$5:$I$185,5,FALSE)),"",VLOOKUP(I128,[1]Upcoming!$A$5:$I$185,5,FALSE))</f>
        <v>#N/A</v>
      </c>
      <c r="Y128" s="84"/>
      <c r="Z128" s="82" t="str">
        <f>IF(ISBLANK(VLOOKUP(L128,[1]Upcoming!$A$5:$I$185,6,FALSE)),"",VLOOKUP(L128,[1]Upcoming!$A$5:$I$185,6,FALSE))</f>
        <v/>
      </c>
      <c r="AA128" s="83" t="str">
        <f>IF(ISBLANK(VLOOKUP(L128,[1]Upcoming!$A$5:$I$185,7,FALSE)),"",VLOOKUP(L128,[1]Upcoming!$A$5:$I$185,7,FALSE))</f>
        <v/>
      </c>
      <c r="AB128" s="84"/>
      <c r="AC128" s="82" t="str">
        <f>IF(ISBLANK(VLOOKUP(L128,[1]Upcoming!$A$5:$I$185,8,FALSE)),"",VLOOKUP(L128,[1]Upcoming!$A$5:$I$185,8,FALSE))</f>
        <v/>
      </c>
      <c r="AD128" s="83" t="str">
        <f>IF(ISBLANK(VLOOKUP(L128,[1]Upcoming!$A$5:$I$185,9,FALSE)),"",VLOOKUP(L128,[1]Upcoming!$A$5:$I$185,9,FALSE))</f>
        <v/>
      </c>
    </row>
    <row r="129" spans="11:30" ht="25.5" customHeight="1" thickBot="1" x14ac:dyDescent="0.3">
      <c r="K129" s="74" t="e">
        <f t="shared" ca="1" si="18"/>
        <v>#REF!</v>
      </c>
      <c r="L129" s="97" t="s">
        <v>314</v>
      </c>
      <c r="M129" s="86"/>
      <c r="N129" s="106" t="e">
        <f t="shared" ca="1" si="19"/>
        <v>#REF!</v>
      </c>
      <c r="O129" s="87" t="e">
        <f t="shared" ca="1" si="20"/>
        <v>#REF!</v>
      </c>
      <c r="P129" s="88" t="e">
        <f t="shared" ca="1" si="21"/>
        <v>#REF!</v>
      </c>
      <c r="Q129" s="89" t="e">
        <f t="shared" ca="1" si="22"/>
        <v>#REF!</v>
      </c>
      <c r="R129" s="90" t="e">
        <f t="shared" ca="1" si="23"/>
        <v>#REF!</v>
      </c>
      <c r="S129" s="81"/>
      <c r="T129" s="82" t="str">
        <f>VLOOKUP(L129,[1]Upcoming!$A$5:$I$185,2,FALSE)</f>
        <v/>
      </c>
      <c r="U129" s="83" t="str">
        <f>VLOOKUP(L129,[1]Upcoming!$A$5:$I$185,3,FALSE)</f>
        <v/>
      </c>
      <c r="V129" s="84"/>
      <c r="W129" s="82" t="e">
        <f>IF(ISBLANK(VLOOKUP(I129,[1]Upcoming!$A$5:$I$185,4,FALSE)),"",VLOOKUP(I129,[1]Upcoming!$A$5:$I$185,4,FALSE))</f>
        <v>#N/A</v>
      </c>
      <c r="X129" s="83" t="e">
        <f>IF(ISBLANK(VLOOKUP(I129,[1]Upcoming!$A$5:$I$185,5,FALSE)),"",VLOOKUP(I129,[1]Upcoming!$A$5:$I$185,5,FALSE))</f>
        <v>#N/A</v>
      </c>
      <c r="Y129" s="84"/>
      <c r="Z129" s="82" t="str">
        <f>IF(ISBLANK(VLOOKUP(L129,[1]Upcoming!$A$5:$I$185,6,FALSE)),"",VLOOKUP(L129,[1]Upcoming!$A$5:$I$185,6,FALSE))</f>
        <v/>
      </c>
      <c r="AA129" s="83" t="str">
        <f>IF(ISBLANK(VLOOKUP(L129,[1]Upcoming!$A$5:$I$185,7,FALSE)),"",VLOOKUP(L129,[1]Upcoming!$A$5:$I$185,7,FALSE))</f>
        <v/>
      </c>
      <c r="AB129" s="84"/>
      <c r="AC129" s="82" t="str">
        <f>IF(ISBLANK(VLOOKUP(L129,[1]Upcoming!$A$5:$I$185,8,FALSE)),"",VLOOKUP(L129,[1]Upcoming!$A$5:$I$185,8,FALSE))</f>
        <v/>
      </c>
      <c r="AD129" s="83" t="str">
        <f>IF(ISBLANK(VLOOKUP(L129,[1]Upcoming!$A$5:$I$185,9,FALSE)),"",VLOOKUP(L129,[1]Upcoming!$A$5:$I$185,9,FALSE))</f>
        <v/>
      </c>
    </row>
    <row r="130" spans="11:30" ht="25.5" customHeight="1" thickBot="1" x14ac:dyDescent="0.3">
      <c r="K130" s="74" t="e">
        <f t="shared" ca="1" si="18"/>
        <v>#REF!</v>
      </c>
      <c r="L130" s="97" t="s">
        <v>294</v>
      </c>
      <c r="M130" s="86"/>
      <c r="N130" s="106" t="e">
        <f t="shared" ca="1" si="19"/>
        <v>#REF!</v>
      </c>
      <c r="O130" s="87" t="e">
        <f t="shared" ca="1" si="20"/>
        <v>#REF!</v>
      </c>
      <c r="P130" s="88" t="e">
        <f t="shared" ca="1" si="21"/>
        <v>#REF!</v>
      </c>
      <c r="Q130" s="89" t="e">
        <f t="shared" ca="1" si="22"/>
        <v>#REF!</v>
      </c>
      <c r="R130" s="90" t="e">
        <f t="shared" ca="1" si="23"/>
        <v>#REF!</v>
      </c>
      <c r="S130" s="81"/>
      <c r="T130" s="82" t="str">
        <f>VLOOKUP(L130,[1]Upcoming!$A$5:$I$185,2,FALSE)</f>
        <v/>
      </c>
      <c r="U130" s="83" t="str">
        <f>VLOOKUP(L130,[1]Upcoming!$A$5:$I$185,3,FALSE)</f>
        <v/>
      </c>
      <c r="V130" s="84"/>
      <c r="W130" s="82" t="e">
        <f>IF(ISBLANK(VLOOKUP(I130,[1]Upcoming!$A$5:$I$185,4,FALSE)),"",VLOOKUP(I130,[1]Upcoming!$A$5:$I$185,4,FALSE))</f>
        <v>#N/A</v>
      </c>
      <c r="X130" s="83" t="e">
        <f>IF(ISBLANK(VLOOKUP(I130,[1]Upcoming!$A$5:$I$185,5,FALSE)),"",VLOOKUP(I130,[1]Upcoming!$A$5:$I$185,5,FALSE))</f>
        <v>#N/A</v>
      </c>
      <c r="Y130" s="84"/>
      <c r="Z130" s="82" t="str">
        <f>IF(ISBLANK(VLOOKUP(L130,[1]Upcoming!$A$5:$I$185,6,FALSE)),"",VLOOKUP(L130,[1]Upcoming!$A$5:$I$185,6,FALSE))</f>
        <v/>
      </c>
      <c r="AA130" s="83" t="str">
        <f>IF(ISBLANK(VLOOKUP(L130,[1]Upcoming!$A$5:$I$185,7,FALSE)),"",VLOOKUP(L130,[1]Upcoming!$A$5:$I$185,7,FALSE))</f>
        <v/>
      </c>
      <c r="AB130" s="84"/>
      <c r="AC130" s="82" t="str">
        <f>IF(ISBLANK(VLOOKUP(L130,[1]Upcoming!$A$5:$I$185,8,FALSE)),"",VLOOKUP(L130,[1]Upcoming!$A$5:$I$185,8,FALSE))</f>
        <v/>
      </c>
      <c r="AD130" s="83" t="str">
        <f>IF(ISBLANK(VLOOKUP(L130,[1]Upcoming!$A$5:$I$185,9,FALSE)),"",VLOOKUP(L130,[1]Upcoming!$A$5:$I$185,9,FALSE))</f>
        <v/>
      </c>
    </row>
    <row r="131" spans="11:30" ht="25.5" customHeight="1" thickBot="1" x14ac:dyDescent="0.3">
      <c r="K131" s="74" t="e">
        <f t="shared" ca="1" si="18"/>
        <v>#REF!</v>
      </c>
      <c r="L131" s="97" t="s">
        <v>20</v>
      </c>
      <c r="M131" s="86"/>
      <c r="N131" s="106" t="e">
        <f t="shared" ca="1" si="19"/>
        <v>#REF!</v>
      </c>
      <c r="O131" s="87" t="e">
        <f t="shared" ca="1" si="20"/>
        <v>#REF!</v>
      </c>
      <c r="P131" s="88" t="e">
        <f t="shared" ca="1" si="21"/>
        <v>#REF!</v>
      </c>
      <c r="Q131" s="89" t="e">
        <f t="shared" ca="1" si="22"/>
        <v>#REF!</v>
      </c>
      <c r="R131" s="90" t="e">
        <f t="shared" ca="1" si="23"/>
        <v>#REF!</v>
      </c>
      <c r="S131" s="81"/>
      <c r="T131" s="82" t="str">
        <f>VLOOKUP(L131,[1]Upcoming!$A$5:$I$185,2,FALSE)</f>
        <v/>
      </c>
      <c r="U131" s="83" t="str">
        <f>VLOOKUP(L131,[1]Upcoming!$A$5:$I$185,3,FALSE)</f>
        <v/>
      </c>
      <c r="V131" s="84"/>
      <c r="W131" s="82" t="e">
        <f>IF(ISBLANK(VLOOKUP(I131,[1]Upcoming!$A$5:$I$185,4,FALSE)),"",VLOOKUP(I131,[1]Upcoming!$A$5:$I$185,4,FALSE))</f>
        <v>#N/A</v>
      </c>
      <c r="X131" s="83" t="e">
        <f>IF(ISBLANK(VLOOKUP(I131,[1]Upcoming!$A$5:$I$185,5,FALSE)),"",VLOOKUP(I131,[1]Upcoming!$A$5:$I$185,5,FALSE))</f>
        <v>#N/A</v>
      </c>
      <c r="Y131" s="84"/>
      <c r="Z131" s="82" t="str">
        <f>IF(ISBLANK(VLOOKUP(L131,[1]Upcoming!$A$5:$I$185,6,FALSE)),"",VLOOKUP(L131,[1]Upcoming!$A$5:$I$185,6,FALSE))</f>
        <v/>
      </c>
      <c r="AA131" s="83" t="str">
        <f>IF(ISBLANK(VLOOKUP(L131,[1]Upcoming!$A$5:$I$185,7,FALSE)),"",VLOOKUP(L131,[1]Upcoming!$A$5:$I$185,7,FALSE))</f>
        <v/>
      </c>
      <c r="AB131" s="84"/>
      <c r="AC131" s="82" t="str">
        <f>IF(ISBLANK(VLOOKUP(L131,[1]Upcoming!$A$5:$I$185,8,FALSE)),"",VLOOKUP(L131,[1]Upcoming!$A$5:$I$185,8,FALSE))</f>
        <v/>
      </c>
      <c r="AD131" s="83" t="str">
        <f>IF(ISBLANK(VLOOKUP(L131,[1]Upcoming!$A$5:$I$185,9,FALSE)),"",VLOOKUP(L131,[1]Upcoming!$A$5:$I$185,9,FALSE))</f>
        <v/>
      </c>
    </row>
    <row r="132" spans="11:30" ht="25.5" customHeight="1" thickBot="1" x14ac:dyDescent="0.3">
      <c r="K132" s="74" t="e">
        <f t="shared" ca="1" si="18"/>
        <v>#REF!</v>
      </c>
      <c r="L132" s="97" t="s">
        <v>320</v>
      </c>
      <c r="M132" s="86"/>
      <c r="N132" s="106" t="e">
        <f t="shared" ca="1" si="19"/>
        <v>#REF!</v>
      </c>
      <c r="O132" s="87" t="e">
        <f t="shared" ca="1" si="20"/>
        <v>#REF!</v>
      </c>
      <c r="P132" s="88" t="e">
        <f t="shared" ca="1" si="21"/>
        <v>#REF!</v>
      </c>
      <c r="Q132" s="89" t="e">
        <f t="shared" ca="1" si="22"/>
        <v>#REF!</v>
      </c>
      <c r="R132" s="90" t="e">
        <f t="shared" ca="1" si="23"/>
        <v>#REF!</v>
      </c>
      <c r="S132" s="81"/>
      <c r="T132" s="82" t="str">
        <f>VLOOKUP(L132,[1]Upcoming!$A$5:$I$185,2,FALSE)</f>
        <v/>
      </c>
      <c r="U132" s="83" t="str">
        <f>VLOOKUP(L132,[1]Upcoming!$A$5:$I$185,3,FALSE)</f>
        <v/>
      </c>
      <c r="V132" s="84"/>
      <c r="W132" s="82" t="e">
        <f>IF(ISBLANK(VLOOKUP(I132,[1]Upcoming!$A$5:$I$185,4,FALSE)),"",VLOOKUP(I132,[1]Upcoming!$A$5:$I$185,4,FALSE))</f>
        <v>#N/A</v>
      </c>
      <c r="X132" s="83" t="e">
        <f>IF(ISBLANK(VLOOKUP(I132,[1]Upcoming!$A$5:$I$185,5,FALSE)),"",VLOOKUP(I132,[1]Upcoming!$A$5:$I$185,5,FALSE))</f>
        <v>#N/A</v>
      </c>
      <c r="Y132" s="84"/>
      <c r="Z132" s="82" t="str">
        <f>IF(ISBLANK(VLOOKUP(L132,[1]Upcoming!$A$5:$I$185,6,FALSE)),"",VLOOKUP(L132,[1]Upcoming!$A$5:$I$185,6,FALSE))</f>
        <v/>
      </c>
      <c r="AA132" s="83" t="str">
        <f>IF(ISBLANK(VLOOKUP(L132,[1]Upcoming!$A$5:$I$185,7,FALSE)),"",VLOOKUP(L132,[1]Upcoming!$A$5:$I$185,7,FALSE))</f>
        <v/>
      </c>
      <c r="AB132" s="84"/>
      <c r="AC132" s="82" t="str">
        <f>IF(ISBLANK(VLOOKUP(L132,[1]Upcoming!$A$5:$I$185,8,FALSE)),"",VLOOKUP(L132,[1]Upcoming!$A$5:$I$185,8,FALSE))</f>
        <v/>
      </c>
      <c r="AD132" s="83" t="str">
        <f>IF(ISBLANK(VLOOKUP(L132,[1]Upcoming!$A$5:$I$185,9,FALSE)),"",VLOOKUP(L132,[1]Upcoming!$A$5:$I$185,9,FALSE))</f>
        <v/>
      </c>
    </row>
    <row r="133" spans="11:30" ht="25.5" customHeight="1" thickBot="1" x14ac:dyDescent="0.3">
      <c r="K133" s="74" t="e">
        <f t="shared" ca="1" si="18"/>
        <v>#REF!</v>
      </c>
      <c r="L133" s="97" t="s">
        <v>41</v>
      </c>
      <c r="M133" s="86"/>
      <c r="N133" s="106" t="e">
        <f t="shared" ca="1" si="19"/>
        <v>#REF!</v>
      </c>
      <c r="O133" s="87" t="e">
        <f t="shared" ca="1" si="20"/>
        <v>#REF!</v>
      </c>
      <c r="P133" s="88" t="e">
        <f t="shared" ca="1" si="21"/>
        <v>#REF!</v>
      </c>
      <c r="Q133" s="89" t="e">
        <f t="shared" ca="1" si="22"/>
        <v>#REF!</v>
      </c>
      <c r="R133" s="111" t="e">
        <f t="shared" ca="1" si="23"/>
        <v>#REF!</v>
      </c>
      <c r="S133" s="81"/>
      <c r="T133" s="82" t="str">
        <f>VLOOKUP(L133,[1]Upcoming!$A$5:$I$185,2,FALSE)</f>
        <v/>
      </c>
      <c r="U133" s="83" t="str">
        <f>VLOOKUP(L133,[1]Upcoming!$A$5:$I$185,3,FALSE)</f>
        <v/>
      </c>
      <c r="V133" s="84"/>
      <c r="W133" s="82" t="e">
        <f>IF(ISBLANK(VLOOKUP(I133,[1]Upcoming!$A$5:$I$185,4,FALSE)),"",VLOOKUP(I133,[1]Upcoming!$A$5:$I$185,4,FALSE))</f>
        <v>#N/A</v>
      </c>
      <c r="X133" s="83" t="e">
        <f>IF(ISBLANK(VLOOKUP(I133,[1]Upcoming!$A$5:$I$185,5,FALSE)),"",VLOOKUP(I133,[1]Upcoming!$A$5:$I$185,5,FALSE))</f>
        <v>#N/A</v>
      </c>
      <c r="Y133" s="84"/>
      <c r="Z133" s="82" t="str">
        <f>IF(ISBLANK(VLOOKUP(L133,[1]Upcoming!$A$5:$I$185,6,FALSE)),"",VLOOKUP(L133,[1]Upcoming!$A$5:$I$185,6,FALSE))</f>
        <v/>
      </c>
      <c r="AA133" s="83" t="str">
        <f>IF(ISBLANK(VLOOKUP(L133,[1]Upcoming!$A$5:$I$185,7,FALSE)),"",VLOOKUP(L133,[1]Upcoming!$A$5:$I$185,7,FALSE))</f>
        <v/>
      </c>
      <c r="AB133" s="84"/>
      <c r="AC133" s="82" t="str">
        <f>IF(ISBLANK(VLOOKUP(L133,[1]Upcoming!$A$5:$I$185,8,FALSE)),"",VLOOKUP(L133,[1]Upcoming!$A$5:$I$185,8,FALSE))</f>
        <v/>
      </c>
      <c r="AD133" s="83" t="str">
        <f>IF(ISBLANK(VLOOKUP(L133,[1]Upcoming!$A$5:$I$185,9,FALSE)),"",VLOOKUP(L133,[1]Upcoming!$A$5:$I$185,9,FALSE))</f>
        <v/>
      </c>
    </row>
    <row r="134" spans="11:30" ht="25.5" customHeight="1" thickBot="1" x14ac:dyDescent="0.3">
      <c r="K134" s="74" t="e">
        <f t="shared" ca="1" si="18"/>
        <v>#REF!</v>
      </c>
      <c r="L134" s="97" t="s">
        <v>38</v>
      </c>
      <c r="M134" s="86"/>
      <c r="N134" s="106" t="e">
        <f t="shared" ca="1" si="19"/>
        <v>#REF!</v>
      </c>
      <c r="O134" s="87" t="e">
        <f t="shared" ca="1" si="20"/>
        <v>#REF!</v>
      </c>
      <c r="P134" s="88" t="e">
        <f t="shared" ca="1" si="21"/>
        <v>#REF!</v>
      </c>
      <c r="Q134" s="89" t="e">
        <f t="shared" ca="1" si="22"/>
        <v>#REF!</v>
      </c>
      <c r="R134" s="90" t="e">
        <f t="shared" ca="1" si="23"/>
        <v>#REF!</v>
      </c>
      <c r="S134" s="81"/>
      <c r="T134" s="82" t="str">
        <f>VLOOKUP(L134,[1]Upcoming!$A$5:$I$185,2,FALSE)</f>
        <v/>
      </c>
      <c r="U134" s="83" t="str">
        <f>VLOOKUP(L134,[1]Upcoming!$A$5:$I$185,3,FALSE)</f>
        <v/>
      </c>
      <c r="V134" s="84"/>
      <c r="W134" s="82" t="e">
        <f>IF(ISBLANK(VLOOKUP(I134,[1]Upcoming!$A$5:$I$185,4,FALSE)),"",VLOOKUP(I134,[1]Upcoming!$A$5:$I$185,4,FALSE))</f>
        <v>#N/A</v>
      </c>
      <c r="X134" s="83" t="e">
        <f>IF(ISBLANK(VLOOKUP(I134,[1]Upcoming!$A$5:$I$185,5,FALSE)),"",VLOOKUP(I134,[1]Upcoming!$A$5:$I$185,5,FALSE))</f>
        <v>#N/A</v>
      </c>
      <c r="Y134" s="84"/>
      <c r="Z134" s="82" t="str">
        <f>IF(ISBLANK(VLOOKUP(L134,[1]Upcoming!$A$5:$I$185,6,FALSE)),"",VLOOKUP(L134,[1]Upcoming!$A$5:$I$185,6,FALSE))</f>
        <v/>
      </c>
      <c r="AA134" s="83" t="str">
        <f>IF(ISBLANK(VLOOKUP(L134,[1]Upcoming!$A$5:$I$185,7,FALSE)),"",VLOOKUP(L134,[1]Upcoming!$A$5:$I$185,7,FALSE))</f>
        <v/>
      </c>
      <c r="AB134" s="84"/>
      <c r="AC134" s="82" t="str">
        <f>IF(ISBLANK(VLOOKUP(L134,[1]Upcoming!$A$5:$I$185,8,FALSE)),"",VLOOKUP(L134,[1]Upcoming!$A$5:$I$185,8,FALSE))</f>
        <v/>
      </c>
      <c r="AD134" s="83" t="str">
        <f>IF(ISBLANK(VLOOKUP(L134,[1]Upcoming!$A$5:$I$185,9,FALSE)),"",VLOOKUP(L134,[1]Upcoming!$A$5:$I$185,9,FALSE))</f>
        <v/>
      </c>
    </row>
    <row r="135" spans="11:30" ht="25.5" customHeight="1" thickBot="1" x14ac:dyDescent="0.3">
      <c r="K135" s="74" t="e">
        <f t="shared" ca="1" si="18"/>
        <v>#REF!</v>
      </c>
      <c r="L135" s="97" t="s">
        <v>54</v>
      </c>
      <c r="M135" s="86"/>
      <c r="N135" s="106" t="e">
        <f t="shared" ca="1" si="19"/>
        <v>#REF!</v>
      </c>
      <c r="O135" s="87" t="e">
        <f t="shared" ca="1" si="20"/>
        <v>#REF!</v>
      </c>
      <c r="P135" s="88" t="e">
        <f t="shared" ca="1" si="21"/>
        <v>#REF!</v>
      </c>
      <c r="Q135" s="89" t="e">
        <f t="shared" ca="1" si="22"/>
        <v>#REF!</v>
      </c>
      <c r="R135" s="90" t="e">
        <f t="shared" ca="1" si="23"/>
        <v>#REF!</v>
      </c>
      <c r="S135" s="81"/>
      <c r="T135" s="82" t="str">
        <f>VLOOKUP(L135,[1]Upcoming!$A$5:$I$185,2,FALSE)</f>
        <v/>
      </c>
      <c r="U135" s="83" t="str">
        <f>VLOOKUP(L135,[1]Upcoming!$A$5:$I$185,3,FALSE)</f>
        <v/>
      </c>
      <c r="V135" s="84"/>
      <c r="W135" s="82" t="e">
        <f>IF(ISBLANK(VLOOKUP(I135,[1]Upcoming!$A$5:$I$185,4,FALSE)),"",VLOOKUP(I135,[1]Upcoming!$A$5:$I$185,4,FALSE))</f>
        <v>#N/A</v>
      </c>
      <c r="X135" s="83" t="e">
        <f>IF(ISBLANK(VLOOKUP(I135,[1]Upcoming!$A$5:$I$185,5,FALSE)),"",VLOOKUP(I135,[1]Upcoming!$A$5:$I$185,5,FALSE))</f>
        <v>#N/A</v>
      </c>
      <c r="Y135" s="84"/>
      <c r="Z135" s="82" t="str">
        <f>IF(ISBLANK(VLOOKUP(L135,[1]Upcoming!$A$5:$I$185,6,FALSE)),"",VLOOKUP(L135,[1]Upcoming!$A$5:$I$185,6,FALSE))</f>
        <v/>
      </c>
      <c r="AA135" s="83" t="str">
        <f>IF(ISBLANK(VLOOKUP(L135,[1]Upcoming!$A$5:$I$185,7,FALSE)),"",VLOOKUP(L135,[1]Upcoming!$A$5:$I$185,7,FALSE))</f>
        <v/>
      </c>
      <c r="AB135" s="84"/>
      <c r="AC135" s="82" t="str">
        <f>IF(ISBLANK(VLOOKUP(L135,[1]Upcoming!$A$5:$I$185,8,FALSE)),"",VLOOKUP(L135,[1]Upcoming!$A$5:$I$185,8,FALSE))</f>
        <v/>
      </c>
      <c r="AD135" s="83" t="str">
        <f>IF(ISBLANK(VLOOKUP(L135,[1]Upcoming!$A$5:$I$185,9,FALSE)),"",VLOOKUP(L135,[1]Upcoming!$A$5:$I$185,9,FALSE))</f>
        <v/>
      </c>
    </row>
    <row r="136" spans="11:30" ht="25.5" customHeight="1" thickBot="1" x14ac:dyDescent="0.3">
      <c r="K136" s="74" t="e">
        <f t="shared" ca="1" si="18"/>
        <v>#REF!</v>
      </c>
      <c r="L136" s="97" t="s">
        <v>345</v>
      </c>
      <c r="M136" s="86"/>
      <c r="N136" s="106" t="e">
        <f t="shared" ca="1" si="19"/>
        <v>#REF!</v>
      </c>
      <c r="O136" s="87" t="e">
        <f t="shared" ca="1" si="20"/>
        <v>#REF!</v>
      </c>
      <c r="P136" s="88" t="e">
        <f t="shared" ca="1" si="21"/>
        <v>#REF!</v>
      </c>
      <c r="Q136" s="89" t="e">
        <f t="shared" ca="1" si="22"/>
        <v>#REF!</v>
      </c>
      <c r="R136" s="119" t="e">
        <f t="shared" ca="1" si="23"/>
        <v>#REF!</v>
      </c>
      <c r="S136" s="81"/>
      <c r="T136" s="82" t="str">
        <f>VLOOKUP(L136,[1]Upcoming!$A$5:$I$185,2,FALSE)</f>
        <v/>
      </c>
      <c r="U136" s="83" t="str">
        <f>VLOOKUP(L136,[1]Upcoming!$A$5:$I$185,3,FALSE)</f>
        <v/>
      </c>
      <c r="V136" s="84"/>
      <c r="W136" s="82" t="e">
        <f>IF(ISBLANK(VLOOKUP(I136,[1]Upcoming!$A$5:$I$185,4,FALSE)),"",VLOOKUP(I136,[1]Upcoming!$A$5:$I$185,4,FALSE))</f>
        <v>#N/A</v>
      </c>
      <c r="X136" s="83" t="e">
        <f>IF(ISBLANK(VLOOKUP(I136,[1]Upcoming!$A$5:$I$185,5,FALSE)),"",VLOOKUP(I136,[1]Upcoming!$A$5:$I$185,5,FALSE))</f>
        <v>#N/A</v>
      </c>
      <c r="Y136" s="84"/>
      <c r="Z136" s="82" t="str">
        <f>IF(ISBLANK(VLOOKUP(L136,[1]Upcoming!$A$5:$I$185,6,FALSE)),"",VLOOKUP(L136,[1]Upcoming!$A$5:$I$185,6,FALSE))</f>
        <v/>
      </c>
      <c r="AA136" s="83" t="str">
        <f>IF(ISBLANK(VLOOKUP(L136,[1]Upcoming!$A$5:$I$185,7,FALSE)),"",VLOOKUP(L136,[1]Upcoming!$A$5:$I$185,7,FALSE))</f>
        <v/>
      </c>
      <c r="AB136" s="84"/>
      <c r="AC136" s="82" t="str">
        <f>IF(ISBLANK(VLOOKUP(L136,[1]Upcoming!$A$5:$I$185,8,FALSE)),"",VLOOKUP(L136,[1]Upcoming!$A$5:$I$185,8,FALSE))</f>
        <v/>
      </c>
      <c r="AD136" s="83" t="str">
        <f>IF(ISBLANK(VLOOKUP(L136,[1]Upcoming!$A$5:$I$185,9,FALSE)),"",VLOOKUP(L136,[1]Upcoming!$A$5:$I$185,9,FALSE))</f>
        <v/>
      </c>
    </row>
    <row r="137" spans="11:30" ht="25.5" customHeight="1" thickBot="1" x14ac:dyDescent="0.3">
      <c r="K137" s="74" t="e">
        <f t="shared" ca="1" si="18"/>
        <v>#REF!</v>
      </c>
      <c r="L137" s="97" t="s">
        <v>325</v>
      </c>
      <c r="M137" s="86"/>
      <c r="N137" s="106" t="e">
        <f t="shared" ca="1" si="19"/>
        <v>#REF!</v>
      </c>
      <c r="O137" s="87" t="e">
        <f t="shared" ca="1" si="20"/>
        <v>#REF!</v>
      </c>
      <c r="P137" s="88" t="e">
        <f t="shared" ca="1" si="21"/>
        <v>#REF!</v>
      </c>
      <c r="Q137" s="89" t="e">
        <f t="shared" ca="1" si="22"/>
        <v>#REF!</v>
      </c>
      <c r="R137" s="90" t="e">
        <f t="shared" ca="1" si="23"/>
        <v>#REF!</v>
      </c>
      <c r="S137" s="81"/>
      <c r="T137" s="82" t="str">
        <f>VLOOKUP(L137,[1]Upcoming!$A$5:$I$185,2,FALSE)</f>
        <v/>
      </c>
      <c r="U137" s="83" t="str">
        <f>VLOOKUP(L137,[1]Upcoming!$A$5:$I$185,3,FALSE)</f>
        <v/>
      </c>
      <c r="V137" s="84"/>
      <c r="W137" s="82" t="e">
        <f>IF(ISBLANK(VLOOKUP(I137,[1]Upcoming!$A$5:$I$185,4,FALSE)),"",VLOOKUP(I137,[1]Upcoming!$A$5:$I$185,4,FALSE))</f>
        <v>#N/A</v>
      </c>
      <c r="X137" s="83" t="e">
        <f>IF(ISBLANK(VLOOKUP(I137,[1]Upcoming!$A$5:$I$185,5,FALSE)),"",VLOOKUP(I137,[1]Upcoming!$A$5:$I$185,5,FALSE))</f>
        <v>#N/A</v>
      </c>
      <c r="Y137" s="84"/>
      <c r="Z137" s="82" t="str">
        <f>IF(ISBLANK(VLOOKUP(L137,[1]Upcoming!$A$5:$I$185,6,FALSE)),"",VLOOKUP(L137,[1]Upcoming!$A$5:$I$185,6,FALSE))</f>
        <v/>
      </c>
      <c r="AA137" s="83" t="str">
        <f>IF(ISBLANK(VLOOKUP(L137,[1]Upcoming!$A$5:$I$185,7,FALSE)),"",VLOOKUP(L137,[1]Upcoming!$A$5:$I$185,7,FALSE))</f>
        <v/>
      </c>
      <c r="AB137" s="84"/>
      <c r="AC137" s="82" t="str">
        <f>IF(ISBLANK(VLOOKUP(L137,[1]Upcoming!$A$5:$I$185,8,FALSE)),"",VLOOKUP(L137,[1]Upcoming!$A$5:$I$185,8,FALSE))</f>
        <v/>
      </c>
      <c r="AD137" s="83" t="str">
        <f>IF(ISBLANK(VLOOKUP(L137,[1]Upcoming!$A$5:$I$185,9,FALSE)),"",VLOOKUP(L137,[1]Upcoming!$A$5:$I$185,9,FALSE))</f>
        <v/>
      </c>
    </row>
    <row r="138" spans="11:30" ht="25.5" customHeight="1" thickBot="1" x14ac:dyDescent="0.3">
      <c r="K138" s="74" t="e">
        <f t="shared" ca="1" si="18"/>
        <v>#REF!</v>
      </c>
      <c r="L138" s="97" t="s">
        <v>59</v>
      </c>
      <c r="M138" s="86"/>
      <c r="N138" s="106" t="e">
        <f t="shared" ca="1" si="19"/>
        <v>#REF!</v>
      </c>
      <c r="O138" s="87" t="e">
        <f t="shared" ca="1" si="20"/>
        <v>#REF!</v>
      </c>
      <c r="P138" s="88" t="e">
        <f t="shared" ca="1" si="21"/>
        <v>#REF!</v>
      </c>
      <c r="Q138" s="89" t="e">
        <f t="shared" ca="1" si="22"/>
        <v>#REF!</v>
      </c>
      <c r="R138" s="90" t="e">
        <f t="shared" ca="1" si="23"/>
        <v>#REF!</v>
      </c>
      <c r="S138" s="81"/>
      <c r="T138" s="82" t="str">
        <f>VLOOKUP(L138,[1]Upcoming!$A$5:$I$185,2,FALSE)</f>
        <v/>
      </c>
      <c r="U138" s="83" t="str">
        <f>VLOOKUP(L138,[1]Upcoming!$A$5:$I$185,3,FALSE)</f>
        <v/>
      </c>
      <c r="V138" s="84"/>
      <c r="W138" s="82" t="e">
        <f>IF(ISBLANK(VLOOKUP(I138,[1]Upcoming!$A$5:$I$185,4,FALSE)),"",VLOOKUP(I138,[1]Upcoming!$A$5:$I$185,4,FALSE))</f>
        <v>#N/A</v>
      </c>
      <c r="X138" s="83" t="e">
        <f>IF(ISBLANK(VLOOKUP(I138,[1]Upcoming!$A$5:$I$185,5,FALSE)),"",VLOOKUP(I138,[1]Upcoming!$A$5:$I$185,5,FALSE))</f>
        <v>#N/A</v>
      </c>
      <c r="Y138" s="84"/>
      <c r="Z138" s="82" t="str">
        <f>IF(ISBLANK(VLOOKUP(L138,[1]Upcoming!$A$5:$I$185,6,FALSE)),"",VLOOKUP(L138,[1]Upcoming!$A$5:$I$185,6,FALSE))</f>
        <v/>
      </c>
      <c r="AA138" s="83" t="str">
        <f>IF(ISBLANK(VLOOKUP(L138,[1]Upcoming!$A$5:$I$185,7,FALSE)),"",VLOOKUP(L138,[1]Upcoming!$A$5:$I$185,7,FALSE))</f>
        <v/>
      </c>
      <c r="AB138" s="84"/>
      <c r="AC138" s="82" t="str">
        <f>IF(ISBLANK(VLOOKUP(L138,[1]Upcoming!$A$5:$I$185,8,FALSE)),"",VLOOKUP(L138,[1]Upcoming!$A$5:$I$185,8,FALSE))</f>
        <v/>
      </c>
      <c r="AD138" s="83" t="str">
        <f>IF(ISBLANK(VLOOKUP(L138,[1]Upcoming!$A$5:$I$185,9,FALSE)),"",VLOOKUP(L138,[1]Upcoming!$A$5:$I$185,9,FALSE))</f>
        <v/>
      </c>
    </row>
    <row r="139" spans="11:30" ht="25.5" customHeight="1" thickBot="1" x14ac:dyDescent="0.3">
      <c r="K139" s="74" t="e">
        <f t="shared" ca="1" si="18"/>
        <v>#REF!</v>
      </c>
      <c r="L139" s="97" t="s">
        <v>277</v>
      </c>
      <c r="M139" s="86"/>
      <c r="N139" s="106" t="e">
        <f t="shared" ca="1" si="19"/>
        <v>#REF!</v>
      </c>
      <c r="O139" s="87" t="e">
        <f t="shared" ca="1" si="20"/>
        <v>#REF!</v>
      </c>
      <c r="P139" s="88" t="e">
        <f t="shared" ca="1" si="21"/>
        <v>#REF!</v>
      </c>
      <c r="Q139" s="89" t="e">
        <f t="shared" ca="1" si="22"/>
        <v>#REF!</v>
      </c>
      <c r="R139" s="90" t="e">
        <f t="shared" ca="1" si="23"/>
        <v>#REF!</v>
      </c>
      <c r="S139" s="81"/>
      <c r="T139" s="82" t="str">
        <f>VLOOKUP(L139,[1]Upcoming!$A$5:$I$185,2,FALSE)</f>
        <v/>
      </c>
      <c r="U139" s="83" t="str">
        <f>VLOOKUP(L139,[1]Upcoming!$A$5:$I$185,3,FALSE)</f>
        <v/>
      </c>
      <c r="V139" s="84"/>
      <c r="W139" s="82" t="e">
        <f>IF(ISBLANK(VLOOKUP(I139,[1]Upcoming!$A$5:$I$185,4,FALSE)),"",VLOOKUP(I139,[1]Upcoming!$A$5:$I$185,4,FALSE))</f>
        <v>#N/A</v>
      </c>
      <c r="X139" s="83" t="e">
        <f>IF(ISBLANK(VLOOKUP(I139,[1]Upcoming!$A$5:$I$185,5,FALSE)),"",VLOOKUP(I139,[1]Upcoming!$A$5:$I$185,5,FALSE))</f>
        <v>#N/A</v>
      </c>
      <c r="Y139" s="84"/>
      <c r="Z139" s="82" t="str">
        <f>IF(ISBLANK(VLOOKUP(L139,[1]Upcoming!$A$5:$I$185,6,FALSE)),"",VLOOKUP(L139,[1]Upcoming!$A$5:$I$185,6,FALSE))</f>
        <v/>
      </c>
      <c r="AA139" s="83" t="str">
        <f>IF(ISBLANK(VLOOKUP(L139,[1]Upcoming!$A$5:$I$185,7,FALSE)),"",VLOOKUP(L139,[1]Upcoming!$A$5:$I$185,7,FALSE))</f>
        <v/>
      </c>
      <c r="AB139" s="84"/>
      <c r="AC139" s="82" t="str">
        <f>IF(ISBLANK(VLOOKUP(L139,[1]Upcoming!$A$5:$I$185,8,FALSE)),"",VLOOKUP(L139,[1]Upcoming!$A$5:$I$185,8,FALSE))</f>
        <v/>
      </c>
      <c r="AD139" s="83" t="str">
        <f>IF(ISBLANK(VLOOKUP(L139,[1]Upcoming!$A$5:$I$185,9,FALSE)),"",VLOOKUP(L139,[1]Upcoming!$A$5:$I$185,9,FALSE))</f>
        <v/>
      </c>
    </row>
    <row r="140" spans="11:30" ht="25.5" customHeight="1" thickBot="1" x14ac:dyDescent="0.3">
      <c r="K140" s="74" t="e">
        <f t="shared" ca="1" si="18"/>
        <v>#REF!</v>
      </c>
      <c r="L140" s="97" t="s">
        <v>297</v>
      </c>
      <c r="M140" s="86"/>
      <c r="N140" s="106" t="e">
        <f t="shared" ca="1" si="19"/>
        <v>#REF!</v>
      </c>
      <c r="O140" s="87" t="e">
        <f t="shared" ca="1" si="20"/>
        <v>#REF!</v>
      </c>
      <c r="P140" s="88" t="e">
        <f t="shared" ca="1" si="21"/>
        <v>#REF!</v>
      </c>
      <c r="Q140" s="89" t="e">
        <f t="shared" ca="1" si="22"/>
        <v>#REF!</v>
      </c>
      <c r="R140" s="111" t="e">
        <f t="shared" ca="1" si="23"/>
        <v>#REF!</v>
      </c>
      <c r="S140" s="81"/>
      <c r="T140" s="82" t="str">
        <f>VLOOKUP(L140,[1]Upcoming!$A$5:$I$185,2,FALSE)</f>
        <v/>
      </c>
      <c r="U140" s="83" t="str">
        <f>VLOOKUP(L140,[1]Upcoming!$A$5:$I$185,3,FALSE)</f>
        <v/>
      </c>
      <c r="V140" s="84"/>
      <c r="W140" s="82" t="e">
        <f>IF(ISBLANK(VLOOKUP(I140,[1]Upcoming!$A$5:$I$185,4,FALSE)),"",VLOOKUP(I140,[1]Upcoming!$A$5:$I$185,4,FALSE))</f>
        <v>#N/A</v>
      </c>
      <c r="X140" s="83" t="e">
        <f>IF(ISBLANK(VLOOKUP(I140,[1]Upcoming!$A$5:$I$185,5,FALSE)),"",VLOOKUP(I140,[1]Upcoming!$A$5:$I$185,5,FALSE))</f>
        <v>#N/A</v>
      </c>
      <c r="Y140" s="84"/>
      <c r="Z140" s="82" t="str">
        <f>IF(ISBLANK(VLOOKUP(L140,[1]Upcoming!$A$5:$I$185,6,FALSE)),"",VLOOKUP(L140,[1]Upcoming!$A$5:$I$185,6,FALSE))</f>
        <v/>
      </c>
      <c r="AA140" s="83" t="str">
        <f>IF(ISBLANK(VLOOKUP(L140,[1]Upcoming!$A$5:$I$185,7,FALSE)),"",VLOOKUP(L140,[1]Upcoming!$A$5:$I$185,7,FALSE))</f>
        <v/>
      </c>
      <c r="AB140" s="84"/>
      <c r="AC140" s="82" t="str">
        <f>IF(ISBLANK(VLOOKUP(L140,[1]Upcoming!$A$5:$I$185,8,FALSE)),"",VLOOKUP(L140,[1]Upcoming!$A$5:$I$185,8,FALSE))</f>
        <v/>
      </c>
      <c r="AD140" s="83" t="str">
        <f>IF(ISBLANK(VLOOKUP(L140,[1]Upcoming!$A$5:$I$185,9,FALSE)),"",VLOOKUP(L140,[1]Upcoming!$A$5:$I$185,9,FALSE))</f>
        <v/>
      </c>
    </row>
    <row r="141" spans="11:30" ht="25.5" customHeight="1" thickBot="1" x14ac:dyDescent="0.3">
      <c r="K141" s="74" t="e">
        <f t="shared" ca="1" si="18"/>
        <v>#REF!</v>
      </c>
      <c r="L141" s="97" t="s">
        <v>61</v>
      </c>
      <c r="M141" s="86"/>
      <c r="N141" s="106" t="e">
        <f t="shared" ca="1" si="19"/>
        <v>#REF!</v>
      </c>
      <c r="O141" s="87" t="e">
        <f t="shared" ca="1" si="20"/>
        <v>#REF!</v>
      </c>
      <c r="P141" s="88" t="e">
        <f t="shared" ca="1" si="21"/>
        <v>#REF!</v>
      </c>
      <c r="Q141" s="89" t="e">
        <f t="shared" ca="1" si="22"/>
        <v>#REF!</v>
      </c>
      <c r="R141" s="90" t="e">
        <f t="shared" ca="1" si="23"/>
        <v>#REF!</v>
      </c>
      <c r="S141" s="81"/>
      <c r="T141" s="82" t="str">
        <f>VLOOKUP(L141,[1]Upcoming!$A$5:$I$185,2,FALSE)</f>
        <v/>
      </c>
      <c r="U141" s="83" t="str">
        <f>VLOOKUP(L141,[1]Upcoming!$A$5:$I$185,3,FALSE)</f>
        <v/>
      </c>
      <c r="V141" s="84"/>
      <c r="W141" s="82" t="e">
        <f>IF(ISBLANK(VLOOKUP(I141,[1]Upcoming!$A$5:$I$185,4,FALSE)),"",VLOOKUP(I141,[1]Upcoming!$A$5:$I$185,4,FALSE))</f>
        <v>#N/A</v>
      </c>
      <c r="X141" s="83" t="e">
        <f>IF(ISBLANK(VLOOKUP(I141,[1]Upcoming!$A$5:$I$185,5,FALSE)),"",VLOOKUP(I141,[1]Upcoming!$A$5:$I$185,5,FALSE))</f>
        <v>#N/A</v>
      </c>
      <c r="Y141" s="84"/>
      <c r="Z141" s="82" t="str">
        <f>IF(ISBLANK(VLOOKUP(L141,[1]Upcoming!$A$5:$I$185,6,FALSE)),"",VLOOKUP(L141,[1]Upcoming!$A$5:$I$185,6,FALSE))</f>
        <v/>
      </c>
      <c r="AA141" s="83" t="str">
        <f>IF(ISBLANK(VLOOKUP(L141,[1]Upcoming!$A$5:$I$185,7,FALSE)),"",VLOOKUP(L141,[1]Upcoming!$A$5:$I$185,7,FALSE))</f>
        <v/>
      </c>
      <c r="AB141" s="84"/>
      <c r="AC141" s="82" t="str">
        <f>IF(ISBLANK(VLOOKUP(L141,[1]Upcoming!$A$5:$I$185,8,FALSE)),"",VLOOKUP(L141,[1]Upcoming!$A$5:$I$185,8,FALSE))</f>
        <v/>
      </c>
      <c r="AD141" s="83" t="str">
        <f>IF(ISBLANK(VLOOKUP(L141,[1]Upcoming!$A$5:$I$185,9,FALSE)),"",VLOOKUP(L141,[1]Upcoming!$A$5:$I$185,9,FALSE))</f>
        <v/>
      </c>
    </row>
    <row r="142" spans="11:30" ht="25.5" customHeight="1" thickBot="1" x14ac:dyDescent="0.3">
      <c r="K142" s="74" t="e">
        <f t="shared" ca="1" si="18"/>
        <v>#REF!</v>
      </c>
      <c r="L142" s="97" t="s">
        <v>280</v>
      </c>
      <c r="M142" s="86"/>
      <c r="N142" s="106" t="e">
        <f t="shared" ca="1" si="19"/>
        <v>#REF!</v>
      </c>
      <c r="O142" s="87" t="e">
        <f t="shared" ca="1" si="20"/>
        <v>#REF!</v>
      </c>
      <c r="P142" s="88" t="e">
        <f t="shared" ca="1" si="21"/>
        <v>#REF!</v>
      </c>
      <c r="Q142" s="89" t="e">
        <f t="shared" ca="1" si="22"/>
        <v>#REF!</v>
      </c>
      <c r="R142" s="90" t="e">
        <f t="shared" ca="1" si="23"/>
        <v>#REF!</v>
      </c>
      <c r="S142" s="81"/>
      <c r="T142" s="82" t="str">
        <f>VLOOKUP(L142,[1]Upcoming!$A$5:$I$185,2,FALSE)</f>
        <v/>
      </c>
      <c r="U142" s="83" t="str">
        <f>VLOOKUP(L142,[1]Upcoming!$A$5:$I$185,3,FALSE)</f>
        <v/>
      </c>
      <c r="V142" s="84"/>
      <c r="W142" s="82" t="e">
        <f>IF(ISBLANK(VLOOKUP(I142,[1]Upcoming!$A$5:$I$185,4,FALSE)),"",VLOOKUP(I142,[1]Upcoming!$A$5:$I$185,4,FALSE))</f>
        <v>#N/A</v>
      </c>
      <c r="X142" s="83" t="e">
        <f>IF(ISBLANK(VLOOKUP(I142,[1]Upcoming!$A$5:$I$185,5,FALSE)),"",VLOOKUP(I142,[1]Upcoming!$A$5:$I$185,5,FALSE))</f>
        <v>#N/A</v>
      </c>
      <c r="Y142" s="84"/>
      <c r="Z142" s="82" t="str">
        <f>IF(ISBLANK(VLOOKUP(L142,[1]Upcoming!$A$5:$I$185,6,FALSE)),"",VLOOKUP(L142,[1]Upcoming!$A$5:$I$185,6,FALSE))</f>
        <v/>
      </c>
      <c r="AA142" s="83" t="str">
        <f>IF(ISBLANK(VLOOKUP(L142,[1]Upcoming!$A$5:$I$185,7,FALSE)),"",VLOOKUP(L142,[1]Upcoming!$A$5:$I$185,7,FALSE))</f>
        <v/>
      </c>
      <c r="AB142" s="84"/>
      <c r="AC142" s="82" t="str">
        <f>IF(ISBLANK(VLOOKUP(L142,[1]Upcoming!$A$5:$I$185,8,FALSE)),"",VLOOKUP(L142,[1]Upcoming!$A$5:$I$185,8,FALSE))</f>
        <v/>
      </c>
      <c r="AD142" s="83" t="str">
        <f>IF(ISBLANK(VLOOKUP(L142,[1]Upcoming!$A$5:$I$185,9,FALSE)),"",VLOOKUP(L142,[1]Upcoming!$A$5:$I$185,9,FALSE))</f>
        <v/>
      </c>
    </row>
    <row r="143" spans="11:30" ht="25.5" customHeight="1" thickBot="1" x14ac:dyDescent="0.3">
      <c r="K143" s="74" t="e">
        <f t="shared" ca="1" si="18"/>
        <v>#REF!</v>
      </c>
      <c r="L143" s="97" t="s">
        <v>298</v>
      </c>
      <c r="M143" s="86"/>
      <c r="N143" s="106" t="e">
        <f t="shared" ca="1" si="19"/>
        <v>#REF!</v>
      </c>
      <c r="O143" s="87" t="e">
        <f t="shared" ca="1" si="20"/>
        <v>#REF!</v>
      </c>
      <c r="P143" s="88" t="e">
        <f t="shared" ca="1" si="21"/>
        <v>#REF!</v>
      </c>
      <c r="Q143" s="89" t="e">
        <f t="shared" ca="1" si="22"/>
        <v>#REF!</v>
      </c>
      <c r="R143" s="111" t="e">
        <f t="shared" ca="1" si="23"/>
        <v>#REF!</v>
      </c>
      <c r="S143" s="81"/>
      <c r="T143" s="82" t="str">
        <f>VLOOKUP(L143,[1]Upcoming!$A$5:$I$185,2,FALSE)</f>
        <v/>
      </c>
      <c r="U143" s="83" t="str">
        <f>VLOOKUP(L143,[1]Upcoming!$A$5:$I$185,3,FALSE)</f>
        <v/>
      </c>
      <c r="V143" s="84"/>
      <c r="W143" s="82" t="e">
        <f>IF(ISBLANK(VLOOKUP(I143,[1]Upcoming!$A$5:$I$185,4,FALSE)),"",VLOOKUP(I143,[1]Upcoming!$A$5:$I$185,4,FALSE))</f>
        <v>#N/A</v>
      </c>
      <c r="X143" s="83" t="e">
        <f>IF(ISBLANK(VLOOKUP(I143,[1]Upcoming!$A$5:$I$185,5,FALSE)),"",VLOOKUP(I143,[1]Upcoming!$A$5:$I$185,5,FALSE))</f>
        <v>#N/A</v>
      </c>
      <c r="Y143" s="84"/>
      <c r="Z143" s="82" t="str">
        <f>IF(ISBLANK(VLOOKUP(L143,[1]Upcoming!$A$5:$I$185,6,FALSE)),"",VLOOKUP(L143,[1]Upcoming!$A$5:$I$185,6,FALSE))</f>
        <v/>
      </c>
      <c r="AA143" s="83" t="str">
        <f>IF(ISBLANK(VLOOKUP(L143,[1]Upcoming!$A$5:$I$185,7,FALSE)),"",VLOOKUP(L143,[1]Upcoming!$A$5:$I$185,7,FALSE))</f>
        <v/>
      </c>
      <c r="AB143" s="84"/>
      <c r="AC143" s="82" t="str">
        <f>IF(ISBLANK(VLOOKUP(L143,[1]Upcoming!$A$5:$I$185,8,FALSE)),"",VLOOKUP(L143,[1]Upcoming!$A$5:$I$185,8,FALSE))</f>
        <v/>
      </c>
      <c r="AD143" s="83" t="str">
        <f>IF(ISBLANK(VLOOKUP(L143,[1]Upcoming!$A$5:$I$185,9,FALSE)),"",VLOOKUP(L143,[1]Upcoming!$A$5:$I$185,9,FALSE))</f>
        <v/>
      </c>
    </row>
    <row r="144" spans="11:30" ht="25.5" customHeight="1" thickBot="1" x14ac:dyDescent="0.3">
      <c r="K144" s="74" t="e">
        <f t="shared" ca="1" si="18"/>
        <v>#REF!</v>
      </c>
      <c r="L144" s="97" t="s">
        <v>332</v>
      </c>
      <c r="M144" s="86"/>
      <c r="N144" s="106" t="e">
        <f t="shared" ca="1" si="19"/>
        <v>#REF!</v>
      </c>
      <c r="O144" s="87" t="e">
        <f t="shared" ca="1" si="20"/>
        <v>#REF!</v>
      </c>
      <c r="P144" s="88" t="e">
        <f t="shared" ca="1" si="21"/>
        <v>#REF!</v>
      </c>
      <c r="Q144" s="89" t="e">
        <f t="shared" ca="1" si="22"/>
        <v>#REF!</v>
      </c>
      <c r="R144" s="90" t="e">
        <f t="shared" ca="1" si="23"/>
        <v>#REF!</v>
      </c>
      <c r="S144" s="81"/>
      <c r="T144" s="82" t="str">
        <f>VLOOKUP(L144,[1]Upcoming!$A$5:$I$185,2,FALSE)</f>
        <v/>
      </c>
      <c r="U144" s="83" t="str">
        <f>VLOOKUP(L144,[1]Upcoming!$A$5:$I$185,3,FALSE)</f>
        <v/>
      </c>
      <c r="V144" s="84"/>
      <c r="W144" s="82" t="e">
        <f>IF(ISBLANK(VLOOKUP(I144,[1]Upcoming!$A$5:$I$185,4,FALSE)),"",VLOOKUP(I144,[1]Upcoming!$A$5:$I$185,4,FALSE))</f>
        <v>#N/A</v>
      </c>
      <c r="X144" s="83" t="e">
        <f>IF(ISBLANK(VLOOKUP(I144,[1]Upcoming!$A$5:$I$185,5,FALSE)),"",VLOOKUP(I144,[1]Upcoming!$A$5:$I$185,5,FALSE))</f>
        <v>#N/A</v>
      </c>
      <c r="Y144" s="84"/>
      <c r="Z144" s="82" t="str">
        <f>IF(ISBLANK(VLOOKUP(L144,[1]Upcoming!$A$5:$I$185,6,FALSE)),"",VLOOKUP(L144,[1]Upcoming!$A$5:$I$185,6,FALSE))</f>
        <v/>
      </c>
      <c r="AA144" s="83" t="str">
        <f>IF(ISBLANK(VLOOKUP(L144,[1]Upcoming!$A$5:$I$185,7,FALSE)),"",VLOOKUP(L144,[1]Upcoming!$A$5:$I$185,7,FALSE))</f>
        <v/>
      </c>
      <c r="AB144" s="84"/>
      <c r="AC144" s="82" t="str">
        <f>IF(ISBLANK(VLOOKUP(L144,[1]Upcoming!$A$5:$I$185,8,FALSE)),"",VLOOKUP(L144,[1]Upcoming!$A$5:$I$185,8,FALSE))</f>
        <v/>
      </c>
      <c r="AD144" s="83" t="str">
        <f>IF(ISBLANK(VLOOKUP(L144,[1]Upcoming!$A$5:$I$185,9,FALSE)),"",VLOOKUP(L144,[1]Upcoming!$A$5:$I$185,9,FALSE))</f>
        <v/>
      </c>
    </row>
    <row r="145" spans="11:30" ht="25.5" customHeight="1" thickBot="1" x14ac:dyDescent="0.3">
      <c r="K145" s="74" t="e">
        <f t="shared" ca="1" si="18"/>
        <v>#REF!</v>
      </c>
      <c r="L145" s="97" t="s">
        <v>55</v>
      </c>
      <c r="M145" s="86"/>
      <c r="N145" s="106" t="e">
        <f t="shared" ca="1" si="19"/>
        <v>#REF!</v>
      </c>
      <c r="O145" s="87" t="e">
        <f t="shared" ca="1" si="20"/>
        <v>#REF!</v>
      </c>
      <c r="P145" s="88" t="e">
        <f t="shared" ca="1" si="21"/>
        <v>#REF!</v>
      </c>
      <c r="Q145" s="89" t="e">
        <f t="shared" ca="1" si="22"/>
        <v>#REF!</v>
      </c>
      <c r="R145" s="90" t="e">
        <f t="shared" ca="1" si="23"/>
        <v>#REF!</v>
      </c>
      <c r="S145" s="81"/>
      <c r="T145" s="82" t="str">
        <f>VLOOKUP(L145,[1]Upcoming!$A$5:$I$185,2,FALSE)</f>
        <v/>
      </c>
      <c r="U145" s="83" t="str">
        <f>VLOOKUP(L145,[1]Upcoming!$A$5:$I$185,3,FALSE)</f>
        <v/>
      </c>
      <c r="V145" s="84"/>
      <c r="W145" s="82" t="e">
        <f>IF(ISBLANK(VLOOKUP(I145,[1]Upcoming!$A$5:$I$185,4,FALSE)),"",VLOOKUP(I145,[1]Upcoming!$A$5:$I$185,4,FALSE))</f>
        <v>#N/A</v>
      </c>
      <c r="X145" s="83" t="e">
        <f>IF(ISBLANK(VLOOKUP(I145,[1]Upcoming!$A$5:$I$185,5,FALSE)),"",VLOOKUP(I145,[1]Upcoming!$A$5:$I$185,5,FALSE))</f>
        <v>#N/A</v>
      </c>
      <c r="Y145" s="84"/>
      <c r="Z145" s="82" t="str">
        <f>IF(ISBLANK(VLOOKUP(L145,[1]Upcoming!$A$5:$I$185,6,FALSE)),"",VLOOKUP(L145,[1]Upcoming!$A$5:$I$185,6,FALSE))</f>
        <v/>
      </c>
      <c r="AA145" s="83" t="str">
        <f>IF(ISBLANK(VLOOKUP(L145,[1]Upcoming!$A$5:$I$185,7,FALSE)),"",VLOOKUP(L145,[1]Upcoming!$A$5:$I$185,7,FALSE))</f>
        <v/>
      </c>
      <c r="AB145" s="84"/>
      <c r="AC145" s="82" t="str">
        <f>IF(ISBLANK(VLOOKUP(L145,[1]Upcoming!$A$5:$I$185,8,FALSE)),"",VLOOKUP(L145,[1]Upcoming!$A$5:$I$185,8,FALSE))</f>
        <v/>
      </c>
      <c r="AD145" s="83" t="str">
        <f>IF(ISBLANK(VLOOKUP(L145,[1]Upcoming!$A$5:$I$185,9,FALSE)),"",VLOOKUP(L145,[1]Upcoming!$A$5:$I$185,9,FALSE))</f>
        <v/>
      </c>
    </row>
    <row r="146" spans="11:30" ht="25.5" customHeight="1" thickBot="1" x14ac:dyDescent="0.3">
      <c r="K146" s="74" t="e">
        <f t="shared" ca="1" si="18"/>
        <v>#REF!</v>
      </c>
      <c r="L146" s="97" t="s">
        <v>274</v>
      </c>
      <c r="M146" s="86"/>
      <c r="N146" s="106" t="e">
        <f t="shared" ca="1" si="19"/>
        <v>#REF!</v>
      </c>
      <c r="O146" s="87" t="e">
        <f t="shared" ca="1" si="20"/>
        <v>#REF!</v>
      </c>
      <c r="P146" s="88" t="e">
        <f t="shared" ca="1" si="21"/>
        <v>#REF!</v>
      </c>
      <c r="Q146" s="89" t="e">
        <f t="shared" ca="1" si="22"/>
        <v>#REF!</v>
      </c>
      <c r="R146" s="90" t="e">
        <f t="shared" ca="1" si="23"/>
        <v>#REF!</v>
      </c>
      <c r="S146" s="81"/>
      <c r="T146" s="82" t="str">
        <f>VLOOKUP(L146,[1]Upcoming!$A$5:$I$185,2,FALSE)</f>
        <v/>
      </c>
      <c r="U146" s="83" t="str">
        <f>VLOOKUP(L146,[1]Upcoming!$A$5:$I$185,3,FALSE)</f>
        <v/>
      </c>
      <c r="V146" s="84"/>
      <c r="W146" s="82" t="e">
        <f>IF(ISBLANK(VLOOKUP(I146,[1]Upcoming!$A$5:$I$185,4,FALSE)),"",VLOOKUP(I146,[1]Upcoming!$A$5:$I$185,4,FALSE))</f>
        <v>#N/A</v>
      </c>
      <c r="X146" s="83" t="e">
        <f>IF(ISBLANK(VLOOKUP(I146,[1]Upcoming!$A$5:$I$185,5,FALSE)),"",VLOOKUP(I146,[1]Upcoming!$A$5:$I$185,5,FALSE))</f>
        <v>#N/A</v>
      </c>
      <c r="Y146" s="84"/>
      <c r="Z146" s="82" t="str">
        <f>IF(ISBLANK(VLOOKUP(L146,[1]Upcoming!$A$5:$I$185,6,FALSE)),"",VLOOKUP(L146,[1]Upcoming!$A$5:$I$185,6,FALSE))</f>
        <v/>
      </c>
      <c r="AA146" s="83" t="str">
        <f>IF(ISBLANK(VLOOKUP(L146,[1]Upcoming!$A$5:$I$185,7,FALSE)),"",VLOOKUP(L146,[1]Upcoming!$A$5:$I$185,7,FALSE))</f>
        <v/>
      </c>
      <c r="AB146" s="84"/>
      <c r="AC146" s="82" t="str">
        <f>IF(ISBLANK(VLOOKUP(L146,[1]Upcoming!$A$5:$I$185,8,FALSE)),"",VLOOKUP(L146,[1]Upcoming!$A$5:$I$185,8,FALSE))</f>
        <v/>
      </c>
      <c r="AD146" s="83" t="str">
        <f>IF(ISBLANK(VLOOKUP(L146,[1]Upcoming!$A$5:$I$185,9,FALSE)),"",VLOOKUP(L146,[1]Upcoming!$A$5:$I$185,9,FALSE))</f>
        <v/>
      </c>
    </row>
    <row r="147" spans="11:30" ht="25.5" customHeight="1" thickBot="1" x14ac:dyDescent="0.3">
      <c r="K147" s="74" t="e">
        <f t="shared" ca="1" si="18"/>
        <v>#REF!</v>
      </c>
      <c r="L147" s="97" t="s">
        <v>12</v>
      </c>
      <c r="M147" s="86"/>
      <c r="N147" s="106" t="e">
        <f t="shared" ca="1" si="19"/>
        <v>#REF!</v>
      </c>
      <c r="O147" s="87" t="e">
        <f t="shared" ca="1" si="20"/>
        <v>#REF!</v>
      </c>
      <c r="P147" s="88" t="e">
        <f t="shared" ca="1" si="21"/>
        <v>#REF!</v>
      </c>
      <c r="Q147" s="89" t="e">
        <f t="shared" ca="1" si="22"/>
        <v>#REF!</v>
      </c>
      <c r="R147" s="111" t="e">
        <f t="shared" ca="1" si="23"/>
        <v>#REF!</v>
      </c>
      <c r="S147" s="81"/>
      <c r="T147" s="82" t="str">
        <f>VLOOKUP(L147,[1]Upcoming!$A$5:$I$185,2,FALSE)</f>
        <v/>
      </c>
      <c r="U147" s="83" t="str">
        <f>VLOOKUP(L147,[1]Upcoming!$A$5:$I$185,3,FALSE)</f>
        <v/>
      </c>
      <c r="V147" s="84"/>
      <c r="W147" s="82" t="e">
        <f>IF(ISBLANK(VLOOKUP(I147,[1]Upcoming!$A$5:$I$185,4,FALSE)),"",VLOOKUP(I147,[1]Upcoming!$A$5:$I$185,4,FALSE))</f>
        <v>#N/A</v>
      </c>
      <c r="X147" s="83" t="e">
        <f>IF(ISBLANK(VLOOKUP(I147,[1]Upcoming!$A$5:$I$185,5,FALSE)),"",VLOOKUP(I147,[1]Upcoming!$A$5:$I$185,5,FALSE))</f>
        <v>#N/A</v>
      </c>
      <c r="Y147" s="84"/>
      <c r="Z147" s="82" t="str">
        <f>IF(ISBLANK(VLOOKUP(L147,[1]Upcoming!$A$5:$I$185,6,FALSE)),"",VLOOKUP(L147,[1]Upcoming!$A$5:$I$185,6,FALSE))</f>
        <v/>
      </c>
      <c r="AA147" s="83" t="str">
        <f>IF(ISBLANK(VLOOKUP(L147,[1]Upcoming!$A$5:$I$185,7,FALSE)),"",VLOOKUP(L147,[1]Upcoming!$A$5:$I$185,7,FALSE))</f>
        <v/>
      </c>
      <c r="AB147" s="84"/>
      <c r="AC147" s="82" t="str">
        <f>IF(ISBLANK(VLOOKUP(L147,[1]Upcoming!$A$5:$I$185,8,FALSE)),"",VLOOKUP(L147,[1]Upcoming!$A$5:$I$185,8,FALSE))</f>
        <v/>
      </c>
      <c r="AD147" s="83" t="str">
        <f>IF(ISBLANK(VLOOKUP(L147,[1]Upcoming!$A$5:$I$185,9,FALSE)),"",VLOOKUP(L147,[1]Upcoming!$A$5:$I$185,9,FALSE))</f>
        <v/>
      </c>
    </row>
    <row r="148" spans="11:30" ht="25.5" customHeight="1" thickBot="1" x14ac:dyDescent="0.3">
      <c r="K148" s="74" t="e">
        <f t="shared" ref="K148:K179" ca="1" si="24">RANK(N148,$N$20:$N$200,0)</f>
        <v>#REF!</v>
      </c>
      <c r="L148" s="97" t="s">
        <v>255</v>
      </c>
      <c r="M148" s="86"/>
      <c r="N148" s="106" t="e">
        <f t="shared" ref="N148:N179" ca="1" si="25">O148+P148</f>
        <v>#REF!</v>
      </c>
      <c r="O148" s="87" t="e">
        <f t="shared" ref="O148:O179" ca="1" si="26">INDIRECT("'[summary.xls]"&amp;L148&amp;"'!$F$99")</f>
        <v>#REF!</v>
      </c>
      <c r="P148" s="88" t="e">
        <f t="shared" ref="P148:P179" ca="1" si="27">INDIRECT("'[summary.xls]"&amp;L148&amp;"'!$F$172")</f>
        <v>#REF!</v>
      </c>
      <c r="Q148" s="89" t="e">
        <f t="shared" ref="Q148:Q182" ca="1" si="28">INDIRECT("'[summary.xls]"&amp;L148&amp;"'!$L$1")</f>
        <v>#REF!</v>
      </c>
      <c r="R148" s="111" t="e">
        <f t="shared" ref="R148:R179" ca="1" si="29">INDIRECT("'[summary.xls]"&amp;L148&amp;"'!$F$218")</f>
        <v>#REF!</v>
      </c>
      <c r="S148" s="81"/>
      <c r="T148" s="82" t="str">
        <f>VLOOKUP(L148,[1]Upcoming!$A$5:$I$185,2,FALSE)</f>
        <v/>
      </c>
      <c r="U148" s="83" t="str">
        <f>VLOOKUP(L148,[1]Upcoming!$A$5:$I$185,3,FALSE)</f>
        <v/>
      </c>
      <c r="V148" s="84"/>
      <c r="W148" s="82" t="e">
        <f>IF(ISBLANK(VLOOKUP(I148,[1]Upcoming!$A$5:$I$185,4,FALSE)),"",VLOOKUP(I148,[1]Upcoming!$A$5:$I$185,4,FALSE))</f>
        <v>#N/A</v>
      </c>
      <c r="X148" s="83" t="e">
        <f>IF(ISBLANK(VLOOKUP(I148,[1]Upcoming!$A$5:$I$185,5,FALSE)),"",VLOOKUP(I148,[1]Upcoming!$A$5:$I$185,5,FALSE))</f>
        <v>#N/A</v>
      </c>
      <c r="Y148" s="84"/>
      <c r="Z148" s="82" t="str">
        <f>IF(ISBLANK(VLOOKUP(L148,[1]Upcoming!$A$5:$I$185,6,FALSE)),"",VLOOKUP(L148,[1]Upcoming!$A$5:$I$185,6,FALSE))</f>
        <v/>
      </c>
      <c r="AA148" s="83" t="str">
        <f>IF(ISBLANK(VLOOKUP(L148,[1]Upcoming!$A$5:$I$185,7,FALSE)),"",VLOOKUP(L148,[1]Upcoming!$A$5:$I$185,7,FALSE))</f>
        <v/>
      </c>
      <c r="AB148" s="84"/>
      <c r="AC148" s="82" t="str">
        <f>IF(ISBLANK(VLOOKUP(L148,[1]Upcoming!$A$5:$I$185,8,FALSE)),"",VLOOKUP(L148,[1]Upcoming!$A$5:$I$185,8,FALSE))</f>
        <v/>
      </c>
      <c r="AD148" s="83" t="str">
        <f>IF(ISBLANK(VLOOKUP(L148,[1]Upcoming!$A$5:$I$185,9,FALSE)),"",VLOOKUP(L148,[1]Upcoming!$A$5:$I$185,9,FALSE))</f>
        <v/>
      </c>
    </row>
    <row r="149" spans="11:30" ht="25.5" customHeight="1" thickBot="1" x14ac:dyDescent="0.3">
      <c r="K149" s="74" t="e">
        <f t="shared" ca="1" si="24"/>
        <v>#REF!</v>
      </c>
      <c r="L149" s="97" t="s">
        <v>260</v>
      </c>
      <c r="M149" s="86"/>
      <c r="N149" s="106" t="e">
        <f t="shared" ca="1" si="25"/>
        <v>#REF!</v>
      </c>
      <c r="O149" s="87" t="e">
        <f t="shared" ca="1" si="26"/>
        <v>#REF!</v>
      </c>
      <c r="P149" s="88" t="e">
        <f t="shared" ca="1" si="27"/>
        <v>#REF!</v>
      </c>
      <c r="Q149" s="89" t="e">
        <f t="shared" ca="1" si="28"/>
        <v>#REF!</v>
      </c>
      <c r="R149" s="90" t="e">
        <f t="shared" ca="1" si="29"/>
        <v>#REF!</v>
      </c>
      <c r="S149" s="81"/>
      <c r="T149" s="82" t="str">
        <f>VLOOKUP(L149,[1]Upcoming!$A$5:$I$185,2,FALSE)</f>
        <v/>
      </c>
      <c r="U149" s="83" t="str">
        <f>VLOOKUP(L149,[1]Upcoming!$A$5:$I$185,3,FALSE)</f>
        <v/>
      </c>
      <c r="V149" s="84"/>
      <c r="W149" s="82" t="e">
        <f>IF(ISBLANK(VLOOKUP(I149,[1]Upcoming!$A$5:$I$185,4,FALSE)),"",VLOOKUP(I149,[1]Upcoming!$A$5:$I$185,4,FALSE))</f>
        <v>#N/A</v>
      </c>
      <c r="X149" s="83" t="e">
        <f>IF(ISBLANK(VLOOKUP(I149,[1]Upcoming!$A$5:$I$185,5,FALSE)),"",VLOOKUP(I149,[1]Upcoming!$A$5:$I$185,5,FALSE))</f>
        <v>#N/A</v>
      </c>
      <c r="Y149" s="84"/>
      <c r="Z149" s="82" t="str">
        <f>IF(ISBLANK(VLOOKUP(L149,[1]Upcoming!$A$5:$I$185,6,FALSE)),"",VLOOKUP(L149,[1]Upcoming!$A$5:$I$185,6,FALSE))</f>
        <v/>
      </c>
      <c r="AA149" s="83" t="str">
        <f>IF(ISBLANK(VLOOKUP(L149,[1]Upcoming!$A$5:$I$185,7,FALSE)),"",VLOOKUP(L149,[1]Upcoming!$A$5:$I$185,7,FALSE))</f>
        <v/>
      </c>
      <c r="AB149" s="84"/>
      <c r="AC149" s="82" t="str">
        <f>IF(ISBLANK(VLOOKUP(L149,[1]Upcoming!$A$5:$I$185,8,FALSE)),"",VLOOKUP(L149,[1]Upcoming!$A$5:$I$185,8,FALSE))</f>
        <v/>
      </c>
      <c r="AD149" s="83" t="str">
        <f>IF(ISBLANK(VLOOKUP(L149,[1]Upcoming!$A$5:$I$185,9,FALSE)),"",VLOOKUP(L149,[1]Upcoming!$A$5:$I$185,9,FALSE))</f>
        <v/>
      </c>
    </row>
    <row r="150" spans="11:30" ht="25.5" customHeight="1" thickBot="1" x14ac:dyDescent="0.3">
      <c r="K150" s="74" t="e">
        <f t="shared" ca="1" si="24"/>
        <v>#REF!</v>
      </c>
      <c r="L150" s="97" t="s">
        <v>265</v>
      </c>
      <c r="M150" s="86"/>
      <c r="N150" s="106" t="e">
        <f t="shared" ca="1" si="25"/>
        <v>#REF!</v>
      </c>
      <c r="O150" s="87" t="e">
        <f t="shared" ca="1" si="26"/>
        <v>#REF!</v>
      </c>
      <c r="P150" s="88" t="e">
        <f t="shared" ca="1" si="27"/>
        <v>#REF!</v>
      </c>
      <c r="Q150" s="89" t="e">
        <f t="shared" ca="1" si="28"/>
        <v>#REF!</v>
      </c>
      <c r="R150" s="90" t="e">
        <f t="shared" ca="1" si="29"/>
        <v>#REF!</v>
      </c>
      <c r="S150" s="81"/>
      <c r="T150" s="82" t="str">
        <f>VLOOKUP(L150,[1]Upcoming!$A$5:$I$185,2,FALSE)</f>
        <v/>
      </c>
      <c r="U150" s="83" t="str">
        <f>VLOOKUP(L150,[1]Upcoming!$A$5:$I$185,3,FALSE)</f>
        <v/>
      </c>
      <c r="V150" s="84"/>
      <c r="W150" s="82" t="e">
        <f>IF(ISBLANK(VLOOKUP(I150,[1]Upcoming!$A$5:$I$185,4,FALSE)),"",VLOOKUP(I150,[1]Upcoming!$A$5:$I$185,4,FALSE))</f>
        <v>#N/A</v>
      </c>
      <c r="X150" s="83" t="e">
        <f>IF(ISBLANK(VLOOKUP(I150,[1]Upcoming!$A$5:$I$185,5,FALSE)),"",VLOOKUP(I150,[1]Upcoming!$A$5:$I$185,5,FALSE))</f>
        <v>#N/A</v>
      </c>
      <c r="Y150" s="84"/>
      <c r="Z150" s="82" t="str">
        <f>IF(ISBLANK(VLOOKUP(L150,[1]Upcoming!$A$5:$I$185,6,FALSE)),"",VLOOKUP(L150,[1]Upcoming!$A$5:$I$185,6,FALSE))</f>
        <v/>
      </c>
      <c r="AA150" s="83" t="str">
        <f>IF(ISBLANK(VLOOKUP(L150,[1]Upcoming!$A$5:$I$185,7,FALSE)),"",VLOOKUP(L150,[1]Upcoming!$A$5:$I$185,7,FALSE))</f>
        <v/>
      </c>
      <c r="AB150" s="84"/>
      <c r="AC150" s="82" t="str">
        <f>IF(ISBLANK(VLOOKUP(L150,[1]Upcoming!$A$5:$I$185,8,FALSE)),"",VLOOKUP(L150,[1]Upcoming!$A$5:$I$185,8,FALSE))</f>
        <v/>
      </c>
      <c r="AD150" s="83" t="str">
        <f>IF(ISBLANK(VLOOKUP(L150,[1]Upcoming!$A$5:$I$185,9,FALSE)),"",VLOOKUP(L150,[1]Upcoming!$A$5:$I$185,9,FALSE))</f>
        <v/>
      </c>
    </row>
    <row r="151" spans="11:30" ht="25.5" customHeight="1" thickBot="1" x14ac:dyDescent="0.3">
      <c r="K151" s="74" t="e">
        <f t="shared" ca="1" si="24"/>
        <v>#REF!</v>
      </c>
      <c r="L151" s="97" t="s">
        <v>337</v>
      </c>
      <c r="M151" s="86"/>
      <c r="N151" s="106" t="e">
        <f t="shared" ca="1" si="25"/>
        <v>#REF!</v>
      </c>
      <c r="O151" s="87" t="e">
        <f t="shared" ca="1" si="26"/>
        <v>#REF!</v>
      </c>
      <c r="P151" s="88" t="e">
        <f t="shared" ca="1" si="27"/>
        <v>#REF!</v>
      </c>
      <c r="Q151" s="89" t="e">
        <f t="shared" ca="1" si="28"/>
        <v>#REF!</v>
      </c>
      <c r="R151" s="90" t="e">
        <f t="shared" ca="1" si="29"/>
        <v>#REF!</v>
      </c>
      <c r="S151" s="81"/>
      <c r="T151" s="82" t="str">
        <f>VLOOKUP(L151,[1]Upcoming!$A$5:$I$185,2,FALSE)</f>
        <v/>
      </c>
      <c r="U151" s="83" t="str">
        <f>VLOOKUP(L151,[1]Upcoming!$A$5:$I$185,3,FALSE)</f>
        <v/>
      </c>
      <c r="V151" s="84"/>
      <c r="W151" s="82" t="e">
        <f>IF(ISBLANK(VLOOKUP(I151,[1]Upcoming!$A$5:$I$185,4,FALSE)),"",VLOOKUP(I151,[1]Upcoming!$A$5:$I$185,4,FALSE))</f>
        <v>#N/A</v>
      </c>
      <c r="X151" s="83" t="e">
        <f>IF(ISBLANK(VLOOKUP(I151,[1]Upcoming!$A$5:$I$185,5,FALSE)),"",VLOOKUP(I151,[1]Upcoming!$A$5:$I$185,5,FALSE))</f>
        <v>#N/A</v>
      </c>
      <c r="Y151" s="84"/>
      <c r="Z151" s="82" t="str">
        <f>IF(ISBLANK(VLOOKUP(L151,[1]Upcoming!$A$5:$I$185,6,FALSE)),"",VLOOKUP(L151,[1]Upcoming!$A$5:$I$185,6,FALSE))</f>
        <v/>
      </c>
      <c r="AA151" s="83" t="str">
        <f>IF(ISBLANK(VLOOKUP(L151,[1]Upcoming!$A$5:$I$185,7,FALSE)),"",VLOOKUP(L151,[1]Upcoming!$A$5:$I$185,7,FALSE))</f>
        <v/>
      </c>
      <c r="AB151" s="84"/>
      <c r="AC151" s="82" t="str">
        <f>IF(ISBLANK(VLOOKUP(L151,[1]Upcoming!$A$5:$I$185,8,FALSE)),"",VLOOKUP(L151,[1]Upcoming!$A$5:$I$185,8,FALSE))</f>
        <v/>
      </c>
      <c r="AD151" s="83" t="str">
        <f>IF(ISBLANK(VLOOKUP(L151,[1]Upcoming!$A$5:$I$185,9,FALSE)),"",VLOOKUP(L151,[1]Upcoming!$A$5:$I$185,9,FALSE))</f>
        <v/>
      </c>
    </row>
    <row r="152" spans="11:30" ht="25.5" customHeight="1" thickBot="1" x14ac:dyDescent="0.3">
      <c r="K152" s="74" t="e">
        <f t="shared" ca="1" si="24"/>
        <v>#REF!</v>
      </c>
      <c r="L152" s="97" t="s">
        <v>37</v>
      </c>
      <c r="M152" s="86"/>
      <c r="N152" s="106" t="e">
        <f t="shared" ca="1" si="25"/>
        <v>#REF!</v>
      </c>
      <c r="O152" s="87" t="e">
        <f t="shared" ca="1" si="26"/>
        <v>#REF!</v>
      </c>
      <c r="P152" s="88" t="e">
        <f t="shared" ca="1" si="27"/>
        <v>#REF!</v>
      </c>
      <c r="Q152" s="89" t="e">
        <f t="shared" ca="1" si="28"/>
        <v>#REF!</v>
      </c>
      <c r="R152" s="90" t="e">
        <f t="shared" ca="1" si="29"/>
        <v>#REF!</v>
      </c>
      <c r="S152" s="81"/>
      <c r="T152" s="82" t="str">
        <f>VLOOKUP(L152,[1]Upcoming!$A$5:$I$185,2,FALSE)</f>
        <v/>
      </c>
      <c r="U152" s="83" t="str">
        <f>VLOOKUP(L152,[1]Upcoming!$A$5:$I$185,3,FALSE)</f>
        <v/>
      </c>
      <c r="V152" s="84"/>
      <c r="W152" s="82" t="e">
        <f>IF(ISBLANK(VLOOKUP(I152,[1]Upcoming!$A$5:$I$185,4,FALSE)),"",VLOOKUP(I152,[1]Upcoming!$A$5:$I$185,4,FALSE))</f>
        <v>#N/A</v>
      </c>
      <c r="X152" s="83" t="e">
        <f>IF(ISBLANK(VLOOKUP(I152,[1]Upcoming!$A$5:$I$185,5,FALSE)),"",VLOOKUP(I152,[1]Upcoming!$A$5:$I$185,5,FALSE))</f>
        <v>#N/A</v>
      </c>
      <c r="Y152" s="84"/>
      <c r="Z152" s="82" t="str">
        <f>IF(ISBLANK(VLOOKUP(L152,[1]Upcoming!$A$5:$I$185,6,FALSE)),"",VLOOKUP(L152,[1]Upcoming!$A$5:$I$185,6,FALSE))</f>
        <v/>
      </c>
      <c r="AA152" s="83" t="str">
        <f>IF(ISBLANK(VLOOKUP(L152,[1]Upcoming!$A$5:$I$185,7,FALSE)),"",VLOOKUP(L152,[1]Upcoming!$A$5:$I$185,7,FALSE))</f>
        <v/>
      </c>
      <c r="AB152" s="84"/>
      <c r="AC152" s="82" t="str">
        <f>IF(ISBLANK(VLOOKUP(L152,[1]Upcoming!$A$5:$I$185,8,FALSE)),"",VLOOKUP(L152,[1]Upcoming!$A$5:$I$185,8,FALSE))</f>
        <v/>
      </c>
      <c r="AD152" s="83" t="str">
        <f>IF(ISBLANK(VLOOKUP(L152,[1]Upcoming!$A$5:$I$185,9,FALSE)),"",VLOOKUP(L152,[1]Upcoming!$A$5:$I$185,9,FALSE))</f>
        <v/>
      </c>
    </row>
    <row r="153" spans="11:30" ht="25.5" customHeight="1" thickBot="1" x14ac:dyDescent="0.3">
      <c r="K153" s="74" t="e">
        <f t="shared" ca="1" si="24"/>
        <v>#REF!</v>
      </c>
      <c r="L153" s="97" t="s">
        <v>27</v>
      </c>
      <c r="M153" s="86"/>
      <c r="N153" s="106" t="e">
        <f t="shared" ca="1" si="25"/>
        <v>#REF!</v>
      </c>
      <c r="O153" s="87" t="e">
        <f t="shared" ca="1" si="26"/>
        <v>#REF!</v>
      </c>
      <c r="P153" s="88" t="e">
        <f t="shared" ca="1" si="27"/>
        <v>#REF!</v>
      </c>
      <c r="Q153" s="89" t="e">
        <f t="shared" ca="1" si="28"/>
        <v>#REF!</v>
      </c>
      <c r="R153" s="90" t="e">
        <f t="shared" ca="1" si="29"/>
        <v>#REF!</v>
      </c>
      <c r="S153" s="81"/>
      <c r="T153" s="82" t="str">
        <f>VLOOKUP(L153,[1]Upcoming!$A$5:$I$185,2,FALSE)</f>
        <v/>
      </c>
      <c r="U153" s="83" t="str">
        <f>VLOOKUP(L153,[1]Upcoming!$A$5:$I$185,3,FALSE)</f>
        <v/>
      </c>
      <c r="V153" s="84"/>
      <c r="W153" s="82" t="e">
        <f>IF(ISBLANK(VLOOKUP(I153,[1]Upcoming!$A$5:$I$185,4,FALSE)),"",VLOOKUP(I153,[1]Upcoming!$A$5:$I$185,4,FALSE))</f>
        <v>#N/A</v>
      </c>
      <c r="X153" s="83" t="e">
        <f>IF(ISBLANK(VLOOKUP(I153,[1]Upcoming!$A$5:$I$185,5,FALSE)),"",VLOOKUP(I153,[1]Upcoming!$A$5:$I$185,5,FALSE))</f>
        <v>#N/A</v>
      </c>
      <c r="Y153" s="84"/>
      <c r="Z153" s="82" t="str">
        <f>IF(ISBLANK(VLOOKUP(L153,[1]Upcoming!$A$5:$I$185,6,FALSE)),"",VLOOKUP(L153,[1]Upcoming!$A$5:$I$185,6,FALSE))</f>
        <v/>
      </c>
      <c r="AA153" s="83" t="str">
        <f>IF(ISBLANK(VLOOKUP(L153,[1]Upcoming!$A$5:$I$185,7,FALSE)),"",VLOOKUP(L153,[1]Upcoming!$A$5:$I$185,7,FALSE))</f>
        <v/>
      </c>
      <c r="AB153" s="84"/>
      <c r="AC153" s="82" t="str">
        <f>IF(ISBLANK(VLOOKUP(L153,[1]Upcoming!$A$5:$I$185,8,FALSE)),"",VLOOKUP(L153,[1]Upcoming!$A$5:$I$185,8,FALSE))</f>
        <v/>
      </c>
      <c r="AD153" s="83" t="str">
        <f>IF(ISBLANK(VLOOKUP(L153,[1]Upcoming!$A$5:$I$185,9,FALSE)),"",VLOOKUP(L153,[1]Upcoming!$A$5:$I$185,9,FALSE))</f>
        <v/>
      </c>
    </row>
    <row r="154" spans="11:30" ht="25.5" customHeight="1" thickBot="1" x14ac:dyDescent="0.3">
      <c r="K154" s="74" t="e">
        <f t="shared" ca="1" si="24"/>
        <v>#REF!</v>
      </c>
      <c r="L154" s="97" t="s">
        <v>258</v>
      </c>
      <c r="M154" s="86"/>
      <c r="N154" s="106" t="e">
        <f t="shared" ca="1" si="25"/>
        <v>#REF!</v>
      </c>
      <c r="O154" s="87" t="e">
        <f t="shared" ca="1" si="26"/>
        <v>#REF!</v>
      </c>
      <c r="P154" s="88" t="e">
        <f t="shared" ca="1" si="27"/>
        <v>#REF!</v>
      </c>
      <c r="Q154" s="89" t="e">
        <f t="shared" ca="1" si="28"/>
        <v>#REF!</v>
      </c>
      <c r="R154" s="90" t="e">
        <f t="shared" ca="1" si="29"/>
        <v>#REF!</v>
      </c>
      <c r="S154" s="81"/>
      <c r="T154" s="82" t="str">
        <f>VLOOKUP(L154,[1]Upcoming!$A$5:$I$185,2,FALSE)</f>
        <v/>
      </c>
      <c r="U154" s="83" t="str">
        <f>VLOOKUP(L154,[1]Upcoming!$A$5:$I$185,3,FALSE)</f>
        <v/>
      </c>
      <c r="V154" s="84"/>
      <c r="W154" s="82" t="e">
        <f>IF(ISBLANK(VLOOKUP(I154,[1]Upcoming!$A$5:$I$185,4,FALSE)),"",VLOOKUP(I154,[1]Upcoming!$A$5:$I$185,4,FALSE))</f>
        <v>#N/A</v>
      </c>
      <c r="X154" s="83" t="e">
        <f>IF(ISBLANK(VLOOKUP(I154,[1]Upcoming!$A$5:$I$185,5,FALSE)),"",VLOOKUP(I154,[1]Upcoming!$A$5:$I$185,5,FALSE))</f>
        <v>#N/A</v>
      </c>
      <c r="Y154" s="84"/>
      <c r="Z154" s="82" t="str">
        <f>IF(ISBLANK(VLOOKUP(L154,[1]Upcoming!$A$5:$I$185,6,FALSE)),"",VLOOKUP(L154,[1]Upcoming!$A$5:$I$185,6,FALSE))</f>
        <v/>
      </c>
      <c r="AA154" s="83" t="str">
        <f>IF(ISBLANK(VLOOKUP(L154,[1]Upcoming!$A$5:$I$185,7,FALSE)),"",VLOOKUP(L154,[1]Upcoming!$A$5:$I$185,7,FALSE))</f>
        <v/>
      </c>
      <c r="AB154" s="84"/>
      <c r="AC154" s="82" t="str">
        <f>IF(ISBLANK(VLOOKUP(L154,[1]Upcoming!$A$5:$I$185,8,FALSE)),"",VLOOKUP(L154,[1]Upcoming!$A$5:$I$185,8,FALSE))</f>
        <v/>
      </c>
      <c r="AD154" s="83" t="str">
        <f>IF(ISBLANK(VLOOKUP(L154,[1]Upcoming!$A$5:$I$185,9,FALSE)),"",VLOOKUP(L154,[1]Upcoming!$A$5:$I$185,9,FALSE))</f>
        <v/>
      </c>
    </row>
    <row r="155" spans="11:30" ht="25.5" customHeight="1" thickBot="1" x14ac:dyDescent="0.3">
      <c r="K155" s="74" t="e">
        <f t="shared" ca="1" si="24"/>
        <v>#REF!</v>
      </c>
      <c r="L155" s="97" t="s">
        <v>307</v>
      </c>
      <c r="M155" s="86"/>
      <c r="N155" s="106" t="e">
        <f t="shared" ca="1" si="25"/>
        <v>#REF!</v>
      </c>
      <c r="O155" s="87" t="e">
        <f t="shared" ca="1" si="26"/>
        <v>#REF!</v>
      </c>
      <c r="P155" s="88" t="e">
        <f t="shared" ca="1" si="27"/>
        <v>#REF!</v>
      </c>
      <c r="Q155" s="89" t="e">
        <f t="shared" ca="1" si="28"/>
        <v>#REF!</v>
      </c>
      <c r="R155" s="90" t="e">
        <f t="shared" ca="1" si="29"/>
        <v>#REF!</v>
      </c>
      <c r="S155" s="81"/>
      <c r="T155" s="82" t="str">
        <f>VLOOKUP(L155,[1]Upcoming!$A$5:$I$185,2,FALSE)</f>
        <v/>
      </c>
      <c r="U155" s="83" t="str">
        <f>VLOOKUP(L155,[1]Upcoming!$A$5:$I$185,3,FALSE)</f>
        <v/>
      </c>
      <c r="V155" s="84"/>
      <c r="W155" s="82" t="e">
        <f>IF(ISBLANK(VLOOKUP(I155,[1]Upcoming!$A$5:$I$185,4,FALSE)),"",VLOOKUP(I155,[1]Upcoming!$A$5:$I$185,4,FALSE))</f>
        <v>#N/A</v>
      </c>
      <c r="X155" s="83" t="e">
        <f>IF(ISBLANK(VLOOKUP(I155,[1]Upcoming!$A$5:$I$185,5,FALSE)),"",VLOOKUP(I155,[1]Upcoming!$A$5:$I$185,5,FALSE))</f>
        <v>#N/A</v>
      </c>
      <c r="Y155" s="84"/>
      <c r="Z155" s="82" t="str">
        <f>IF(ISBLANK(VLOOKUP(L155,[1]Upcoming!$A$5:$I$185,6,FALSE)),"",VLOOKUP(L155,[1]Upcoming!$A$5:$I$185,6,FALSE))</f>
        <v/>
      </c>
      <c r="AA155" s="83" t="str">
        <f>IF(ISBLANK(VLOOKUP(L155,[1]Upcoming!$A$5:$I$185,7,FALSE)),"",VLOOKUP(L155,[1]Upcoming!$A$5:$I$185,7,FALSE))</f>
        <v/>
      </c>
      <c r="AB155" s="84"/>
      <c r="AC155" s="82" t="str">
        <f>IF(ISBLANK(VLOOKUP(L155,[1]Upcoming!$A$5:$I$185,8,FALSE)),"",VLOOKUP(L155,[1]Upcoming!$A$5:$I$185,8,FALSE))</f>
        <v/>
      </c>
      <c r="AD155" s="83" t="str">
        <f>IF(ISBLANK(VLOOKUP(L155,[1]Upcoming!$A$5:$I$185,9,FALSE)),"",VLOOKUP(L155,[1]Upcoming!$A$5:$I$185,9,FALSE))</f>
        <v/>
      </c>
    </row>
    <row r="156" spans="11:30" ht="25.5" customHeight="1" thickBot="1" x14ac:dyDescent="0.3">
      <c r="K156" s="74" t="e">
        <f t="shared" ca="1" si="24"/>
        <v>#REF!</v>
      </c>
      <c r="L156" s="97" t="s">
        <v>264</v>
      </c>
      <c r="M156" s="86"/>
      <c r="N156" s="106" t="e">
        <f t="shared" ca="1" si="25"/>
        <v>#REF!</v>
      </c>
      <c r="O156" s="87" t="e">
        <f t="shared" ca="1" si="26"/>
        <v>#REF!</v>
      </c>
      <c r="P156" s="88" t="e">
        <f t="shared" ca="1" si="27"/>
        <v>#REF!</v>
      </c>
      <c r="Q156" s="89" t="e">
        <f t="shared" ca="1" si="28"/>
        <v>#REF!</v>
      </c>
      <c r="R156" s="90" t="e">
        <f t="shared" ca="1" si="29"/>
        <v>#REF!</v>
      </c>
      <c r="S156" s="81"/>
      <c r="T156" s="82" t="str">
        <f>VLOOKUP(L156,[1]Upcoming!$A$5:$I$185,2,FALSE)</f>
        <v/>
      </c>
      <c r="U156" s="83" t="str">
        <f>VLOOKUP(L156,[1]Upcoming!$A$5:$I$185,3,FALSE)</f>
        <v/>
      </c>
      <c r="V156" s="84"/>
      <c r="W156" s="82" t="e">
        <f>IF(ISBLANK(VLOOKUP(I156,[1]Upcoming!$A$5:$I$185,4,FALSE)),"",VLOOKUP(I156,[1]Upcoming!$A$5:$I$185,4,FALSE))</f>
        <v>#N/A</v>
      </c>
      <c r="X156" s="83" t="e">
        <f>IF(ISBLANK(VLOOKUP(I156,[1]Upcoming!$A$5:$I$185,5,FALSE)),"",VLOOKUP(I156,[1]Upcoming!$A$5:$I$185,5,FALSE))</f>
        <v>#N/A</v>
      </c>
      <c r="Y156" s="84"/>
      <c r="Z156" s="82" t="str">
        <f>IF(ISBLANK(VLOOKUP(L156,[1]Upcoming!$A$5:$I$185,6,FALSE)),"",VLOOKUP(L156,[1]Upcoming!$A$5:$I$185,6,FALSE))</f>
        <v/>
      </c>
      <c r="AA156" s="83" t="str">
        <f>IF(ISBLANK(VLOOKUP(L156,[1]Upcoming!$A$5:$I$185,7,FALSE)),"",VLOOKUP(L156,[1]Upcoming!$A$5:$I$185,7,FALSE))</f>
        <v/>
      </c>
      <c r="AB156" s="84"/>
      <c r="AC156" s="82" t="str">
        <f>IF(ISBLANK(VLOOKUP(L156,[1]Upcoming!$A$5:$I$185,8,FALSE)),"",VLOOKUP(L156,[1]Upcoming!$A$5:$I$185,8,FALSE))</f>
        <v/>
      </c>
      <c r="AD156" s="83" t="str">
        <f>IF(ISBLANK(VLOOKUP(L156,[1]Upcoming!$A$5:$I$185,9,FALSE)),"",VLOOKUP(L156,[1]Upcoming!$A$5:$I$185,9,FALSE))</f>
        <v/>
      </c>
    </row>
    <row r="157" spans="11:30" ht="25.5" customHeight="1" thickBot="1" x14ac:dyDescent="0.3">
      <c r="K157" s="74" t="e">
        <f t="shared" ca="1" si="24"/>
        <v>#REF!</v>
      </c>
      <c r="L157" s="97" t="s">
        <v>361</v>
      </c>
      <c r="M157" s="86"/>
      <c r="N157" s="106" t="e">
        <f t="shared" ca="1" si="25"/>
        <v>#REF!</v>
      </c>
      <c r="O157" s="87" t="e">
        <f t="shared" ca="1" si="26"/>
        <v>#REF!</v>
      </c>
      <c r="P157" s="88" t="e">
        <f t="shared" ca="1" si="27"/>
        <v>#REF!</v>
      </c>
      <c r="Q157" s="89" t="e">
        <f t="shared" ca="1" si="28"/>
        <v>#REF!</v>
      </c>
      <c r="R157" s="90" t="e">
        <f t="shared" ca="1" si="29"/>
        <v>#REF!</v>
      </c>
      <c r="S157" s="81"/>
      <c r="T157" s="82" t="str">
        <f>VLOOKUP(L157,[1]Upcoming!$A$5:$I$185,2,FALSE)</f>
        <v/>
      </c>
      <c r="U157" s="83" t="str">
        <f>VLOOKUP(L157,[1]Upcoming!$A$5:$I$185,3,FALSE)</f>
        <v/>
      </c>
      <c r="V157" s="84"/>
      <c r="W157" s="82" t="e">
        <f>IF(ISBLANK(VLOOKUP(I157,[1]Upcoming!$A$5:$I$185,4,FALSE)),"",VLOOKUP(I157,[1]Upcoming!$A$5:$I$185,4,FALSE))</f>
        <v>#N/A</v>
      </c>
      <c r="X157" s="83" t="e">
        <f>IF(ISBLANK(VLOOKUP(I157,[1]Upcoming!$A$5:$I$185,5,FALSE)),"",VLOOKUP(I157,[1]Upcoming!$A$5:$I$185,5,FALSE))</f>
        <v>#N/A</v>
      </c>
      <c r="Y157" s="84"/>
      <c r="Z157" s="82" t="str">
        <f>IF(ISBLANK(VLOOKUP(L157,[1]Upcoming!$A$5:$I$185,6,FALSE)),"",VLOOKUP(L157,[1]Upcoming!$A$5:$I$185,6,FALSE))</f>
        <v/>
      </c>
      <c r="AA157" s="83" t="str">
        <f>IF(ISBLANK(VLOOKUP(L157,[1]Upcoming!$A$5:$I$185,7,FALSE)),"",VLOOKUP(L157,[1]Upcoming!$A$5:$I$185,7,FALSE))</f>
        <v/>
      </c>
      <c r="AB157" s="84"/>
      <c r="AC157" s="82" t="str">
        <f>IF(ISBLANK(VLOOKUP(L157,[1]Upcoming!$A$5:$I$185,8,FALSE)),"",VLOOKUP(L157,[1]Upcoming!$A$5:$I$185,8,FALSE))</f>
        <v/>
      </c>
      <c r="AD157" s="83" t="str">
        <f>IF(ISBLANK(VLOOKUP(L157,[1]Upcoming!$A$5:$I$185,9,FALSE)),"",VLOOKUP(L157,[1]Upcoming!$A$5:$I$185,9,FALSE))</f>
        <v/>
      </c>
    </row>
    <row r="158" spans="11:30" ht="25.5" customHeight="1" thickBot="1" x14ac:dyDescent="0.3">
      <c r="K158" s="74" t="e">
        <f t="shared" ca="1" si="24"/>
        <v>#REF!</v>
      </c>
      <c r="L158" s="97" t="s">
        <v>40</v>
      </c>
      <c r="M158" s="86"/>
      <c r="N158" s="106" t="e">
        <f t="shared" ca="1" si="25"/>
        <v>#REF!</v>
      </c>
      <c r="O158" s="87" t="e">
        <f t="shared" ca="1" si="26"/>
        <v>#REF!</v>
      </c>
      <c r="P158" s="88" t="e">
        <f t="shared" ca="1" si="27"/>
        <v>#REF!</v>
      </c>
      <c r="Q158" s="89" t="e">
        <f t="shared" ca="1" si="28"/>
        <v>#REF!</v>
      </c>
      <c r="R158" s="115" t="e">
        <f t="shared" ca="1" si="29"/>
        <v>#REF!</v>
      </c>
      <c r="S158" s="81"/>
      <c r="T158" s="82" t="str">
        <f>VLOOKUP(L158,[1]Upcoming!$A$5:$I$185,2,FALSE)</f>
        <v/>
      </c>
      <c r="U158" s="83" t="str">
        <f>VLOOKUP(L158,[1]Upcoming!$A$5:$I$185,3,FALSE)</f>
        <v/>
      </c>
      <c r="V158" s="84"/>
      <c r="W158" s="82" t="e">
        <f>IF(ISBLANK(VLOOKUP(I158,[1]Upcoming!$A$5:$I$185,4,FALSE)),"",VLOOKUP(I158,[1]Upcoming!$A$5:$I$185,4,FALSE))</f>
        <v>#N/A</v>
      </c>
      <c r="X158" s="83" t="e">
        <f>IF(ISBLANK(VLOOKUP(I158,[1]Upcoming!$A$5:$I$185,5,FALSE)),"",VLOOKUP(I158,[1]Upcoming!$A$5:$I$185,5,FALSE))</f>
        <v>#N/A</v>
      </c>
      <c r="Y158" s="84"/>
      <c r="Z158" s="82" t="str">
        <f>IF(ISBLANK(VLOOKUP(L158,[1]Upcoming!$A$5:$I$185,6,FALSE)),"",VLOOKUP(L158,[1]Upcoming!$A$5:$I$185,6,FALSE))</f>
        <v/>
      </c>
      <c r="AA158" s="83" t="str">
        <f>IF(ISBLANK(VLOOKUP(L158,[1]Upcoming!$A$5:$I$185,7,FALSE)),"",VLOOKUP(L158,[1]Upcoming!$A$5:$I$185,7,FALSE))</f>
        <v/>
      </c>
      <c r="AB158" s="84"/>
      <c r="AC158" s="82" t="str">
        <f>IF(ISBLANK(VLOOKUP(L158,[1]Upcoming!$A$5:$I$185,8,FALSE)),"",VLOOKUP(L158,[1]Upcoming!$A$5:$I$185,8,FALSE))</f>
        <v/>
      </c>
      <c r="AD158" s="83" t="str">
        <f>IF(ISBLANK(VLOOKUP(L158,[1]Upcoming!$A$5:$I$185,9,FALSE)),"",VLOOKUP(L158,[1]Upcoming!$A$5:$I$185,9,FALSE))</f>
        <v/>
      </c>
    </row>
    <row r="159" spans="11:30" ht="25.5" customHeight="1" thickBot="1" x14ac:dyDescent="0.3">
      <c r="K159" s="74" t="e">
        <f t="shared" ca="1" si="24"/>
        <v>#REF!</v>
      </c>
      <c r="L159" s="97" t="s">
        <v>43</v>
      </c>
      <c r="M159" s="86"/>
      <c r="N159" s="106" t="e">
        <f t="shared" ca="1" si="25"/>
        <v>#REF!</v>
      </c>
      <c r="O159" s="87" t="e">
        <f t="shared" ca="1" si="26"/>
        <v>#REF!</v>
      </c>
      <c r="P159" s="88" t="e">
        <f t="shared" ca="1" si="27"/>
        <v>#REF!</v>
      </c>
      <c r="Q159" s="89" t="e">
        <f t="shared" ca="1" si="28"/>
        <v>#REF!</v>
      </c>
      <c r="R159" s="112" t="e">
        <f t="shared" ca="1" si="29"/>
        <v>#REF!</v>
      </c>
      <c r="S159" s="81"/>
      <c r="T159" s="82" t="str">
        <f>VLOOKUP(L159,[1]Upcoming!$A$5:$I$185,2,FALSE)</f>
        <v/>
      </c>
      <c r="U159" s="83" t="str">
        <f>VLOOKUP(L159,[1]Upcoming!$A$5:$I$185,3,FALSE)</f>
        <v/>
      </c>
      <c r="V159" s="84"/>
      <c r="W159" s="82" t="e">
        <f>IF(ISBLANK(VLOOKUP(I159,[1]Upcoming!$A$5:$I$185,4,FALSE)),"",VLOOKUP(I159,[1]Upcoming!$A$5:$I$185,4,FALSE))</f>
        <v>#N/A</v>
      </c>
      <c r="X159" s="83" t="e">
        <f>IF(ISBLANK(VLOOKUP(I159,[1]Upcoming!$A$5:$I$185,5,FALSE)),"",VLOOKUP(I159,[1]Upcoming!$A$5:$I$185,5,FALSE))</f>
        <v>#N/A</v>
      </c>
      <c r="Y159" s="84"/>
      <c r="Z159" s="82" t="str">
        <f>IF(ISBLANK(VLOOKUP(L159,[1]Upcoming!$A$5:$I$185,6,FALSE)),"",VLOOKUP(L159,[1]Upcoming!$A$5:$I$185,6,FALSE))</f>
        <v/>
      </c>
      <c r="AA159" s="83" t="str">
        <f>IF(ISBLANK(VLOOKUP(L159,[1]Upcoming!$A$5:$I$185,7,FALSE)),"",VLOOKUP(L159,[1]Upcoming!$A$5:$I$185,7,FALSE))</f>
        <v/>
      </c>
      <c r="AB159" s="84"/>
      <c r="AC159" s="82" t="str">
        <f>IF(ISBLANK(VLOOKUP(L159,[1]Upcoming!$A$5:$I$185,8,FALSE)),"",VLOOKUP(L159,[1]Upcoming!$A$5:$I$185,8,FALSE))</f>
        <v/>
      </c>
      <c r="AD159" s="83" t="str">
        <f>IF(ISBLANK(VLOOKUP(L159,[1]Upcoming!$A$5:$I$185,9,FALSE)),"",VLOOKUP(L159,[1]Upcoming!$A$5:$I$185,9,FALSE))</f>
        <v/>
      </c>
    </row>
    <row r="160" spans="11:30" ht="25.5" customHeight="1" thickBot="1" x14ac:dyDescent="0.3">
      <c r="K160" s="74" t="e">
        <f t="shared" ca="1" si="24"/>
        <v>#REF!</v>
      </c>
      <c r="L160" s="97" t="s">
        <v>18</v>
      </c>
      <c r="M160" s="86"/>
      <c r="N160" s="106" t="e">
        <f t="shared" ca="1" si="25"/>
        <v>#REF!</v>
      </c>
      <c r="O160" s="87" t="e">
        <f t="shared" ca="1" si="26"/>
        <v>#REF!</v>
      </c>
      <c r="P160" s="88" t="e">
        <f t="shared" ca="1" si="27"/>
        <v>#REF!</v>
      </c>
      <c r="Q160" s="89" t="e">
        <f t="shared" ca="1" si="28"/>
        <v>#REF!</v>
      </c>
      <c r="R160" s="104" t="e">
        <f t="shared" ca="1" si="29"/>
        <v>#REF!</v>
      </c>
      <c r="S160" s="81"/>
      <c r="T160" s="82" t="str">
        <f>VLOOKUP(L160,[1]Upcoming!$A$5:$I$185,2,FALSE)</f>
        <v/>
      </c>
      <c r="U160" s="83" t="str">
        <f>VLOOKUP(L160,[1]Upcoming!$A$5:$I$185,3,FALSE)</f>
        <v/>
      </c>
      <c r="V160" s="84"/>
      <c r="W160" s="82" t="e">
        <f>IF(ISBLANK(VLOOKUP(I160,[1]Upcoming!$A$5:$I$185,4,FALSE)),"",VLOOKUP(I160,[1]Upcoming!$A$5:$I$185,4,FALSE))</f>
        <v>#N/A</v>
      </c>
      <c r="X160" s="83" t="e">
        <f>IF(ISBLANK(VLOOKUP(I160,[1]Upcoming!$A$5:$I$185,5,FALSE)),"",VLOOKUP(I160,[1]Upcoming!$A$5:$I$185,5,FALSE))</f>
        <v>#N/A</v>
      </c>
      <c r="Y160" s="84"/>
      <c r="Z160" s="82" t="str">
        <f>IF(ISBLANK(VLOOKUP(L160,[1]Upcoming!$A$5:$I$185,6,FALSE)),"",VLOOKUP(L160,[1]Upcoming!$A$5:$I$185,6,FALSE))</f>
        <v/>
      </c>
      <c r="AA160" s="83" t="str">
        <f>IF(ISBLANK(VLOOKUP(L160,[1]Upcoming!$A$5:$I$185,7,FALSE)),"",VLOOKUP(L160,[1]Upcoming!$A$5:$I$185,7,FALSE))</f>
        <v/>
      </c>
      <c r="AB160" s="84"/>
      <c r="AC160" s="82" t="str">
        <f>IF(ISBLANK(VLOOKUP(L160,[1]Upcoming!$A$5:$I$185,8,FALSE)),"",VLOOKUP(L160,[1]Upcoming!$A$5:$I$185,8,FALSE))</f>
        <v/>
      </c>
      <c r="AD160" s="83" t="str">
        <f>IF(ISBLANK(VLOOKUP(L160,[1]Upcoming!$A$5:$I$185,9,FALSE)),"",VLOOKUP(L160,[1]Upcoming!$A$5:$I$185,9,FALSE))</f>
        <v/>
      </c>
    </row>
    <row r="161" spans="11:30" ht="25.5" customHeight="1" thickBot="1" x14ac:dyDescent="0.3">
      <c r="K161" s="74" t="e">
        <f t="shared" ca="1" si="24"/>
        <v>#REF!</v>
      </c>
      <c r="L161" s="97" t="s">
        <v>305</v>
      </c>
      <c r="M161" s="86"/>
      <c r="N161" s="106" t="e">
        <f t="shared" ca="1" si="25"/>
        <v>#REF!</v>
      </c>
      <c r="O161" s="87" t="e">
        <f t="shared" ca="1" si="26"/>
        <v>#REF!</v>
      </c>
      <c r="P161" s="88" t="e">
        <f t="shared" ca="1" si="27"/>
        <v>#REF!</v>
      </c>
      <c r="Q161" s="89" t="e">
        <f t="shared" ca="1" si="28"/>
        <v>#REF!</v>
      </c>
      <c r="R161" s="112" t="e">
        <f t="shared" ca="1" si="29"/>
        <v>#REF!</v>
      </c>
      <c r="S161" s="81"/>
      <c r="T161" s="82" t="str">
        <f>VLOOKUP(L161,[1]Upcoming!$A$5:$I$185,2,FALSE)</f>
        <v/>
      </c>
      <c r="U161" s="83" t="str">
        <f>VLOOKUP(L161,[1]Upcoming!$A$5:$I$185,3,FALSE)</f>
        <v/>
      </c>
      <c r="V161" s="84"/>
      <c r="W161" s="82" t="e">
        <f>IF(ISBLANK(VLOOKUP(I161,[1]Upcoming!$A$5:$I$185,4,FALSE)),"",VLOOKUP(I161,[1]Upcoming!$A$5:$I$185,4,FALSE))</f>
        <v>#N/A</v>
      </c>
      <c r="X161" s="83" t="e">
        <f>IF(ISBLANK(VLOOKUP(I161,[1]Upcoming!$A$5:$I$185,5,FALSE)),"",VLOOKUP(I161,[1]Upcoming!$A$5:$I$185,5,FALSE))</f>
        <v>#N/A</v>
      </c>
      <c r="Y161" s="84"/>
      <c r="Z161" s="82" t="str">
        <f>IF(ISBLANK(VLOOKUP(L161,[1]Upcoming!$A$5:$I$185,6,FALSE)),"",VLOOKUP(L161,[1]Upcoming!$A$5:$I$185,6,FALSE))</f>
        <v/>
      </c>
      <c r="AA161" s="83" t="str">
        <f>IF(ISBLANK(VLOOKUP(L161,[1]Upcoming!$A$5:$I$185,7,FALSE)),"",VLOOKUP(L161,[1]Upcoming!$A$5:$I$185,7,FALSE))</f>
        <v/>
      </c>
      <c r="AB161" s="84"/>
      <c r="AC161" s="82" t="str">
        <f>IF(ISBLANK(VLOOKUP(L161,[1]Upcoming!$A$5:$I$185,8,FALSE)),"",VLOOKUP(L161,[1]Upcoming!$A$5:$I$185,8,FALSE))</f>
        <v/>
      </c>
      <c r="AD161" s="83" t="str">
        <f>IF(ISBLANK(VLOOKUP(L161,[1]Upcoming!$A$5:$I$185,9,FALSE)),"",VLOOKUP(L161,[1]Upcoming!$A$5:$I$185,9,FALSE))</f>
        <v/>
      </c>
    </row>
    <row r="162" spans="11:30" ht="25.5" customHeight="1" thickBot="1" x14ac:dyDescent="0.3">
      <c r="K162" s="74" t="e">
        <f t="shared" ca="1" si="24"/>
        <v>#REF!</v>
      </c>
      <c r="L162" s="97" t="s">
        <v>254</v>
      </c>
      <c r="M162" s="86"/>
      <c r="N162" s="106" t="e">
        <f t="shared" ca="1" si="25"/>
        <v>#REF!</v>
      </c>
      <c r="O162" s="87" t="e">
        <f t="shared" ca="1" si="26"/>
        <v>#REF!</v>
      </c>
      <c r="P162" s="88" t="e">
        <f t="shared" ca="1" si="27"/>
        <v>#REF!</v>
      </c>
      <c r="Q162" s="89" t="e">
        <f t="shared" ca="1" si="28"/>
        <v>#REF!</v>
      </c>
      <c r="R162" s="112" t="e">
        <f t="shared" ca="1" si="29"/>
        <v>#REF!</v>
      </c>
      <c r="S162" s="81"/>
      <c r="T162" s="82" t="str">
        <f>VLOOKUP(L162,[1]Upcoming!$A$5:$I$185,2,FALSE)</f>
        <v/>
      </c>
      <c r="U162" s="83" t="str">
        <f>VLOOKUP(L162,[1]Upcoming!$A$5:$I$185,3,FALSE)</f>
        <v/>
      </c>
      <c r="V162" s="84"/>
      <c r="W162" s="82" t="e">
        <f>IF(ISBLANK(VLOOKUP(I162,[1]Upcoming!$A$5:$I$185,4,FALSE)),"",VLOOKUP(I162,[1]Upcoming!$A$5:$I$185,4,FALSE))</f>
        <v>#N/A</v>
      </c>
      <c r="X162" s="83" t="e">
        <f>IF(ISBLANK(VLOOKUP(I162,[1]Upcoming!$A$5:$I$185,5,FALSE)),"",VLOOKUP(I162,[1]Upcoming!$A$5:$I$185,5,FALSE))</f>
        <v>#N/A</v>
      </c>
      <c r="Y162" s="84"/>
      <c r="Z162" s="82" t="str">
        <f>IF(ISBLANK(VLOOKUP(L162,[1]Upcoming!$A$5:$I$185,6,FALSE)),"",VLOOKUP(L162,[1]Upcoming!$A$5:$I$185,6,FALSE))</f>
        <v/>
      </c>
      <c r="AA162" s="83" t="str">
        <f>IF(ISBLANK(VLOOKUP(L162,[1]Upcoming!$A$5:$I$185,7,FALSE)),"",VLOOKUP(L162,[1]Upcoming!$A$5:$I$185,7,FALSE))</f>
        <v/>
      </c>
      <c r="AB162" s="84"/>
      <c r="AC162" s="82" t="str">
        <f>IF(ISBLANK(VLOOKUP(L162,[1]Upcoming!$A$5:$I$185,8,FALSE)),"",VLOOKUP(L162,[1]Upcoming!$A$5:$I$185,8,FALSE))</f>
        <v/>
      </c>
      <c r="AD162" s="83" t="str">
        <f>IF(ISBLANK(VLOOKUP(L162,[1]Upcoming!$A$5:$I$185,9,FALSE)),"",VLOOKUP(L162,[1]Upcoming!$A$5:$I$185,9,FALSE))</f>
        <v/>
      </c>
    </row>
    <row r="163" spans="11:30" ht="25.5" customHeight="1" thickBot="1" x14ac:dyDescent="0.3">
      <c r="K163" s="74" t="e">
        <f t="shared" ca="1" si="24"/>
        <v>#REF!</v>
      </c>
      <c r="L163" s="97" t="s">
        <v>33</v>
      </c>
      <c r="M163" s="86"/>
      <c r="N163" s="106" t="e">
        <f t="shared" ca="1" si="25"/>
        <v>#REF!</v>
      </c>
      <c r="O163" s="87" t="e">
        <f t="shared" ca="1" si="26"/>
        <v>#REF!</v>
      </c>
      <c r="P163" s="88" t="e">
        <f t="shared" ca="1" si="27"/>
        <v>#REF!</v>
      </c>
      <c r="Q163" s="89" t="e">
        <f t="shared" ca="1" si="28"/>
        <v>#REF!</v>
      </c>
      <c r="R163" s="112" t="e">
        <f t="shared" ca="1" si="29"/>
        <v>#REF!</v>
      </c>
      <c r="S163" s="81"/>
      <c r="T163" s="82" t="str">
        <f>VLOOKUP(L163,[1]Upcoming!$A$5:$I$185,2,FALSE)</f>
        <v/>
      </c>
      <c r="U163" s="83" t="str">
        <f>VLOOKUP(L163,[1]Upcoming!$A$5:$I$185,3,FALSE)</f>
        <v/>
      </c>
      <c r="V163" s="84"/>
      <c r="W163" s="82" t="e">
        <f>IF(ISBLANK(VLOOKUP(I163,[1]Upcoming!$A$5:$I$185,4,FALSE)),"",VLOOKUP(I163,[1]Upcoming!$A$5:$I$185,4,FALSE))</f>
        <v>#N/A</v>
      </c>
      <c r="X163" s="83" t="e">
        <f>IF(ISBLANK(VLOOKUP(I163,[1]Upcoming!$A$5:$I$185,5,FALSE)),"",VLOOKUP(I163,[1]Upcoming!$A$5:$I$185,5,FALSE))</f>
        <v>#N/A</v>
      </c>
      <c r="Y163" s="84"/>
      <c r="Z163" s="82" t="str">
        <f>IF(ISBLANK(VLOOKUP(L163,[1]Upcoming!$A$5:$I$185,6,FALSE)),"",VLOOKUP(L163,[1]Upcoming!$A$5:$I$185,6,FALSE))</f>
        <v/>
      </c>
      <c r="AA163" s="83" t="str">
        <f>IF(ISBLANK(VLOOKUP(L163,[1]Upcoming!$A$5:$I$185,7,FALSE)),"",VLOOKUP(L163,[1]Upcoming!$A$5:$I$185,7,FALSE))</f>
        <v/>
      </c>
      <c r="AB163" s="84"/>
      <c r="AC163" s="82" t="str">
        <f>IF(ISBLANK(VLOOKUP(L163,[1]Upcoming!$A$5:$I$185,8,FALSE)),"",VLOOKUP(L163,[1]Upcoming!$A$5:$I$185,8,FALSE))</f>
        <v/>
      </c>
      <c r="AD163" s="83" t="str">
        <f>IF(ISBLANK(VLOOKUP(L163,[1]Upcoming!$A$5:$I$185,9,FALSE)),"",VLOOKUP(L163,[1]Upcoming!$A$5:$I$185,9,FALSE))</f>
        <v/>
      </c>
    </row>
    <row r="164" spans="11:30" ht="25.5" customHeight="1" thickBot="1" x14ac:dyDescent="0.3">
      <c r="K164" s="74" t="e">
        <f t="shared" ca="1" si="24"/>
        <v>#REF!</v>
      </c>
      <c r="L164" s="97" t="s">
        <v>45</v>
      </c>
      <c r="M164" s="86"/>
      <c r="N164" s="106" t="e">
        <f t="shared" ca="1" si="25"/>
        <v>#REF!</v>
      </c>
      <c r="O164" s="87" t="e">
        <f t="shared" ca="1" si="26"/>
        <v>#REF!</v>
      </c>
      <c r="P164" s="88" t="e">
        <f t="shared" ca="1" si="27"/>
        <v>#REF!</v>
      </c>
      <c r="Q164" s="89" t="e">
        <f t="shared" ca="1" si="28"/>
        <v>#REF!</v>
      </c>
      <c r="R164" s="112" t="e">
        <f t="shared" ca="1" si="29"/>
        <v>#REF!</v>
      </c>
      <c r="S164" s="81"/>
      <c r="T164" s="82" t="str">
        <f>VLOOKUP(L164,[1]Upcoming!$A$5:$I$185,2,FALSE)</f>
        <v/>
      </c>
      <c r="U164" s="83" t="str">
        <f>VLOOKUP(L164,[1]Upcoming!$A$5:$I$185,3,FALSE)</f>
        <v/>
      </c>
      <c r="V164" s="84"/>
      <c r="W164" s="82" t="e">
        <f>IF(ISBLANK(VLOOKUP(I164,[1]Upcoming!$A$5:$I$185,4,FALSE)),"",VLOOKUP(I164,[1]Upcoming!$A$5:$I$185,4,FALSE))</f>
        <v>#N/A</v>
      </c>
      <c r="X164" s="83" t="e">
        <f>IF(ISBLANK(VLOOKUP(I164,[1]Upcoming!$A$5:$I$185,5,FALSE)),"",VLOOKUP(I164,[1]Upcoming!$A$5:$I$185,5,FALSE))</f>
        <v>#N/A</v>
      </c>
      <c r="Y164" s="84"/>
      <c r="Z164" s="82" t="str">
        <f>IF(ISBLANK(VLOOKUP(L164,[1]Upcoming!$A$5:$I$185,6,FALSE)),"",VLOOKUP(L164,[1]Upcoming!$A$5:$I$185,6,FALSE))</f>
        <v/>
      </c>
      <c r="AA164" s="83" t="str">
        <f>IF(ISBLANK(VLOOKUP(L164,[1]Upcoming!$A$5:$I$185,7,FALSE)),"",VLOOKUP(L164,[1]Upcoming!$A$5:$I$185,7,FALSE))</f>
        <v/>
      </c>
      <c r="AB164" s="84"/>
      <c r="AC164" s="82" t="str">
        <f>IF(ISBLANK(VLOOKUP(L164,[1]Upcoming!$A$5:$I$185,8,FALSE)),"",VLOOKUP(L164,[1]Upcoming!$A$5:$I$185,8,FALSE))</f>
        <v/>
      </c>
      <c r="AD164" s="83" t="str">
        <f>IF(ISBLANK(VLOOKUP(L164,[1]Upcoming!$A$5:$I$185,9,FALSE)),"",VLOOKUP(L164,[1]Upcoming!$A$5:$I$185,9,FALSE))</f>
        <v/>
      </c>
    </row>
    <row r="165" spans="11:30" ht="25.5" customHeight="1" thickBot="1" x14ac:dyDescent="0.3">
      <c r="K165" s="74" t="e">
        <f t="shared" ca="1" si="24"/>
        <v>#REF!</v>
      </c>
      <c r="L165" s="97" t="s">
        <v>301</v>
      </c>
      <c r="M165" s="86"/>
      <c r="N165" s="106" t="e">
        <f t="shared" ca="1" si="25"/>
        <v>#REF!</v>
      </c>
      <c r="O165" s="87" t="e">
        <f t="shared" ca="1" si="26"/>
        <v>#REF!</v>
      </c>
      <c r="P165" s="88" t="e">
        <f t="shared" ca="1" si="27"/>
        <v>#REF!</v>
      </c>
      <c r="Q165" s="89" t="e">
        <f t="shared" ca="1" si="28"/>
        <v>#REF!</v>
      </c>
      <c r="R165" s="104" t="e">
        <f t="shared" ca="1" si="29"/>
        <v>#REF!</v>
      </c>
      <c r="S165" s="81"/>
      <c r="T165" s="82" t="str">
        <f>VLOOKUP(L165,[1]Upcoming!$A$5:$I$185,2,FALSE)</f>
        <v/>
      </c>
      <c r="U165" s="83" t="str">
        <f>VLOOKUP(L165,[1]Upcoming!$A$5:$I$185,3,FALSE)</f>
        <v/>
      </c>
      <c r="V165" s="84"/>
      <c r="W165" s="82" t="e">
        <f>IF(ISBLANK(VLOOKUP(I165,[1]Upcoming!$A$5:$I$185,4,FALSE)),"",VLOOKUP(I165,[1]Upcoming!$A$5:$I$185,4,FALSE))</f>
        <v>#N/A</v>
      </c>
      <c r="X165" s="83" t="e">
        <f>IF(ISBLANK(VLOOKUP(I165,[1]Upcoming!$A$5:$I$185,5,FALSE)),"",VLOOKUP(I165,[1]Upcoming!$A$5:$I$185,5,FALSE))</f>
        <v>#N/A</v>
      </c>
      <c r="Y165" s="84"/>
      <c r="Z165" s="82" t="str">
        <f>IF(ISBLANK(VLOOKUP(L165,[1]Upcoming!$A$5:$I$185,6,FALSE)),"",VLOOKUP(L165,[1]Upcoming!$A$5:$I$185,6,FALSE))</f>
        <v/>
      </c>
      <c r="AA165" s="83" t="str">
        <f>IF(ISBLANK(VLOOKUP(L165,[1]Upcoming!$A$5:$I$185,7,FALSE)),"",VLOOKUP(L165,[1]Upcoming!$A$5:$I$185,7,FALSE))</f>
        <v/>
      </c>
      <c r="AB165" s="84"/>
      <c r="AC165" s="82" t="str">
        <f>IF(ISBLANK(VLOOKUP(L165,[1]Upcoming!$A$5:$I$185,8,FALSE)),"",VLOOKUP(L165,[1]Upcoming!$A$5:$I$185,8,FALSE))</f>
        <v/>
      </c>
      <c r="AD165" s="83" t="str">
        <f>IF(ISBLANK(VLOOKUP(L165,[1]Upcoming!$A$5:$I$185,9,FALSE)),"",VLOOKUP(L165,[1]Upcoming!$A$5:$I$185,9,FALSE))</f>
        <v/>
      </c>
    </row>
    <row r="166" spans="11:30" ht="25.5" customHeight="1" thickBot="1" x14ac:dyDescent="0.3">
      <c r="K166" s="74" t="e">
        <f t="shared" ca="1" si="24"/>
        <v>#REF!</v>
      </c>
      <c r="L166" s="97" t="s">
        <v>283</v>
      </c>
      <c r="M166" s="86"/>
      <c r="N166" s="106" t="e">
        <f t="shared" ca="1" si="25"/>
        <v>#REF!</v>
      </c>
      <c r="O166" s="87" t="e">
        <f t="shared" ca="1" si="26"/>
        <v>#REF!</v>
      </c>
      <c r="P166" s="88" t="e">
        <f t="shared" ca="1" si="27"/>
        <v>#REF!</v>
      </c>
      <c r="Q166" s="89" t="e">
        <f t="shared" ca="1" si="28"/>
        <v>#REF!</v>
      </c>
      <c r="R166" s="112" t="e">
        <f t="shared" ca="1" si="29"/>
        <v>#REF!</v>
      </c>
      <c r="S166" s="81"/>
      <c r="T166" s="82" t="str">
        <f>VLOOKUP(L166,[1]Upcoming!$A$5:$I$185,2,FALSE)</f>
        <v/>
      </c>
      <c r="U166" s="83" t="str">
        <f>VLOOKUP(L166,[1]Upcoming!$A$5:$I$185,3,FALSE)</f>
        <v/>
      </c>
      <c r="V166" s="84"/>
      <c r="W166" s="82" t="e">
        <f>IF(ISBLANK(VLOOKUP(I166,[1]Upcoming!$A$5:$I$185,4,FALSE)),"",VLOOKUP(I166,[1]Upcoming!$A$5:$I$185,4,FALSE))</f>
        <v>#N/A</v>
      </c>
      <c r="X166" s="83" t="e">
        <f>IF(ISBLANK(VLOOKUP(I166,[1]Upcoming!$A$5:$I$185,5,FALSE)),"",VLOOKUP(I166,[1]Upcoming!$A$5:$I$185,5,FALSE))</f>
        <v>#N/A</v>
      </c>
      <c r="Y166" s="84"/>
      <c r="Z166" s="82" t="str">
        <f>IF(ISBLANK(VLOOKUP(L166,[1]Upcoming!$A$5:$I$185,6,FALSE)),"",VLOOKUP(L166,[1]Upcoming!$A$5:$I$185,6,FALSE))</f>
        <v/>
      </c>
      <c r="AA166" s="83" t="str">
        <f>IF(ISBLANK(VLOOKUP(L166,[1]Upcoming!$A$5:$I$185,7,FALSE)),"",VLOOKUP(L166,[1]Upcoming!$A$5:$I$185,7,FALSE))</f>
        <v/>
      </c>
      <c r="AB166" s="84"/>
      <c r="AC166" s="82" t="str">
        <f>IF(ISBLANK(VLOOKUP(L166,[1]Upcoming!$A$5:$I$185,8,FALSE)),"",VLOOKUP(L166,[1]Upcoming!$A$5:$I$185,8,FALSE))</f>
        <v/>
      </c>
      <c r="AD166" s="83" t="str">
        <f>IF(ISBLANK(VLOOKUP(L166,[1]Upcoming!$A$5:$I$185,9,FALSE)),"",VLOOKUP(L166,[1]Upcoming!$A$5:$I$185,9,FALSE))</f>
        <v/>
      </c>
    </row>
    <row r="167" spans="11:30" ht="25.5" customHeight="1" thickBot="1" x14ac:dyDescent="0.3">
      <c r="K167" s="74" t="e">
        <f t="shared" ca="1" si="24"/>
        <v>#REF!</v>
      </c>
      <c r="L167" s="97" t="s">
        <v>312</v>
      </c>
      <c r="M167" s="86"/>
      <c r="N167" s="106" t="e">
        <f t="shared" ca="1" si="25"/>
        <v>#REF!</v>
      </c>
      <c r="O167" s="87" t="e">
        <f t="shared" ca="1" si="26"/>
        <v>#REF!</v>
      </c>
      <c r="P167" s="88" t="e">
        <f t="shared" ca="1" si="27"/>
        <v>#REF!</v>
      </c>
      <c r="Q167" s="89" t="e">
        <f t="shared" ca="1" si="28"/>
        <v>#REF!</v>
      </c>
      <c r="R167" s="104" t="e">
        <f t="shared" ca="1" si="29"/>
        <v>#REF!</v>
      </c>
      <c r="S167" s="81"/>
      <c r="T167" s="82" t="str">
        <f>VLOOKUP(L167,[1]Upcoming!$A$5:$I$185,2,FALSE)</f>
        <v/>
      </c>
      <c r="U167" s="83" t="str">
        <f>VLOOKUP(L167,[1]Upcoming!$A$5:$I$185,3,FALSE)</f>
        <v/>
      </c>
      <c r="V167" s="84"/>
      <c r="W167" s="82" t="e">
        <f>IF(ISBLANK(VLOOKUP(I167,[1]Upcoming!$A$5:$I$185,4,FALSE)),"",VLOOKUP(I167,[1]Upcoming!$A$5:$I$185,4,FALSE))</f>
        <v>#N/A</v>
      </c>
      <c r="X167" s="83" t="e">
        <f>IF(ISBLANK(VLOOKUP(I167,[1]Upcoming!$A$5:$I$185,5,FALSE)),"",VLOOKUP(I167,[1]Upcoming!$A$5:$I$185,5,FALSE))</f>
        <v>#N/A</v>
      </c>
      <c r="Y167" s="84"/>
      <c r="Z167" s="82" t="str">
        <f>IF(ISBLANK(VLOOKUP(L167,[1]Upcoming!$A$5:$I$185,6,FALSE)),"",VLOOKUP(L167,[1]Upcoming!$A$5:$I$185,6,FALSE))</f>
        <v/>
      </c>
      <c r="AA167" s="83" t="str">
        <f>IF(ISBLANK(VLOOKUP(L167,[1]Upcoming!$A$5:$I$185,7,FALSE)),"",VLOOKUP(L167,[1]Upcoming!$A$5:$I$185,7,FALSE))</f>
        <v/>
      </c>
      <c r="AB167" s="84"/>
      <c r="AC167" s="82" t="str">
        <f>IF(ISBLANK(VLOOKUP(L167,[1]Upcoming!$A$5:$I$185,8,FALSE)),"",VLOOKUP(L167,[1]Upcoming!$A$5:$I$185,8,FALSE))</f>
        <v/>
      </c>
      <c r="AD167" s="83" t="str">
        <f>IF(ISBLANK(VLOOKUP(L167,[1]Upcoming!$A$5:$I$185,9,FALSE)),"",VLOOKUP(L167,[1]Upcoming!$A$5:$I$185,9,FALSE))</f>
        <v/>
      </c>
    </row>
    <row r="168" spans="11:30" ht="25.5" customHeight="1" thickBot="1" x14ac:dyDescent="0.3">
      <c r="K168" s="74" t="e">
        <f t="shared" ca="1" si="24"/>
        <v>#REF!</v>
      </c>
      <c r="L168" s="97" t="s">
        <v>364</v>
      </c>
      <c r="M168" s="86"/>
      <c r="N168" s="106" t="e">
        <f t="shared" ca="1" si="25"/>
        <v>#REF!</v>
      </c>
      <c r="O168" s="87" t="e">
        <f t="shared" ca="1" si="26"/>
        <v>#REF!</v>
      </c>
      <c r="P168" s="88" t="e">
        <f t="shared" ca="1" si="27"/>
        <v>#REF!</v>
      </c>
      <c r="Q168" s="89" t="e">
        <f t="shared" ca="1" si="28"/>
        <v>#REF!</v>
      </c>
      <c r="R168" s="112" t="e">
        <f t="shared" ca="1" si="29"/>
        <v>#REF!</v>
      </c>
      <c r="S168" s="81"/>
      <c r="T168" s="82" t="str">
        <f>VLOOKUP(L168,[1]Upcoming!$A$5:$I$185,2,FALSE)</f>
        <v/>
      </c>
      <c r="U168" s="83" t="str">
        <f>VLOOKUP(L168,[1]Upcoming!$A$5:$I$185,3,FALSE)</f>
        <v/>
      </c>
      <c r="V168" s="84"/>
      <c r="W168" s="82" t="e">
        <f>IF(ISBLANK(VLOOKUP(I168,[1]Upcoming!$A$5:$I$185,4,FALSE)),"",VLOOKUP(I168,[1]Upcoming!$A$5:$I$185,4,FALSE))</f>
        <v>#N/A</v>
      </c>
      <c r="X168" s="83" t="e">
        <f>IF(ISBLANK(VLOOKUP(I168,[1]Upcoming!$A$5:$I$185,5,FALSE)),"",VLOOKUP(I168,[1]Upcoming!$A$5:$I$185,5,FALSE))</f>
        <v>#N/A</v>
      </c>
      <c r="Y168" s="84"/>
      <c r="Z168" s="82" t="str">
        <f>IF(ISBLANK(VLOOKUP(L168,[1]Upcoming!$A$5:$I$185,6,FALSE)),"",VLOOKUP(L168,[1]Upcoming!$A$5:$I$185,6,FALSE))</f>
        <v/>
      </c>
      <c r="AA168" s="83" t="str">
        <f>IF(ISBLANK(VLOOKUP(L168,[1]Upcoming!$A$5:$I$185,7,FALSE)),"",VLOOKUP(L168,[1]Upcoming!$A$5:$I$185,7,FALSE))</f>
        <v/>
      </c>
      <c r="AB168" s="84"/>
      <c r="AC168" s="82" t="str">
        <f>IF(ISBLANK(VLOOKUP(L168,[1]Upcoming!$A$5:$I$185,8,FALSE)),"",VLOOKUP(L168,[1]Upcoming!$A$5:$I$185,8,FALSE))</f>
        <v/>
      </c>
      <c r="AD168" s="83" t="str">
        <f>IF(ISBLANK(VLOOKUP(L168,[1]Upcoming!$A$5:$I$185,9,FALSE)),"",VLOOKUP(L168,[1]Upcoming!$A$5:$I$185,9,FALSE))</f>
        <v/>
      </c>
    </row>
    <row r="169" spans="11:30" ht="25.5" customHeight="1" thickBot="1" x14ac:dyDescent="0.3">
      <c r="K169" s="74" t="e">
        <f t="shared" ca="1" si="24"/>
        <v>#REF!</v>
      </c>
      <c r="L169" s="97" t="s">
        <v>253</v>
      </c>
      <c r="M169" s="86"/>
      <c r="N169" s="106" t="e">
        <f t="shared" ca="1" si="25"/>
        <v>#REF!</v>
      </c>
      <c r="O169" s="87" t="e">
        <f t="shared" ca="1" si="26"/>
        <v>#REF!</v>
      </c>
      <c r="P169" s="88" t="e">
        <f t="shared" ca="1" si="27"/>
        <v>#REF!</v>
      </c>
      <c r="Q169" s="89" t="e">
        <f t="shared" ca="1" si="28"/>
        <v>#REF!</v>
      </c>
      <c r="R169" s="112" t="e">
        <f t="shared" ca="1" si="29"/>
        <v>#REF!</v>
      </c>
      <c r="S169" s="81"/>
      <c r="T169" s="82" t="str">
        <f>VLOOKUP(L169,[1]Upcoming!$A$5:$I$185,2,FALSE)</f>
        <v/>
      </c>
      <c r="U169" s="83" t="str">
        <f>VLOOKUP(L169,[1]Upcoming!$A$5:$I$185,3,FALSE)</f>
        <v/>
      </c>
      <c r="V169" s="84"/>
      <c r="W169" s="82" t="e">
        <f>IF(ISBLANK(VLOOKUP(I169,[1]Upcoming!$A$5:$I$185,4,FALSE)),"",VLOOKUP(I169,[1]Upcoming!$A$5:$I$185,4,FALSE))</f>
        <v>#N/A</v>
      </c>
      <c r="X169" s="83" t="e">
        <f>IF(ISBLANK(VLOOKUP(I169,[1]Upcoming!$A$5:$I$185,5,FALSE)),"",VLOOKUP(I169,[1]Upcoming!$A$5:$I$185,5,FALSE))</f>
        <v>#N/A</v>
      </c>
      <c r="Y169" s="84"/>
      <c r="Z169" s="82" t="str">
        <f>IF(ISBLANK(VLOOKUP(L169,[1]Upcoming!$A$5:$I$185,6,FALSE)),"",VLOOKUP(L169,[1]Upcoming!$A$5:$I$185,6,FALSE))</f>
        <v/>
      </c>
      <c r="AA169" s="83" t="str">
        <f>IF(ISBLANK(VLOOKUP(L169,[1]Upcoming!$A$5:$I$185,7,FALSE)),"",VLOOKUP(L169,[1]Upcoming!$A$5:$I$185,7,FALSE))</f>
        <v/>
      </c>
      <c r="AB169" s="84"/>
      <c r="AC169" s="82" t="str">
        <f>IF(ISBLANK(VLOOKUP(L169,[1]Upcoming!$A$5:$I$185,8,FALSE)),"",VLOOKUP(L169,[1]Upcoming!$A$5:$I$185,8,FALSE))</f>
        <v/>
      </c>
      <c r="AD169" s="83" t="str">
        <f>IF(ISBLANK(VLOOKUP(L169,[1]Upcoming!$A$5:$I$185,9,FALSE)),"",VLOOKUP(L169,[1]Upcoming!$A$5:$I$185,9,FALSE))</f>
        <v/>
      </c>
    </row>
    <row r="170" spans="11:30" ht="25.5" customHeight="1" thickBot="1" x14ac:dyDescent="0.3">
      <c r="K170" s="74" t="e">
        <f t="shared" ca="1" si="24"/>
        <v>#REF!</v>
      </c>
      <c r="L170" s="97" t="s">
        <v>25</v>
      </c>
      <c r="M170" s="86"/>
      <c r="N170" s="106" t="e">
        <f t="shared" ca="1" si="25"/>
        <v>#REF!</v>
      </c>
      <c r="O170" s="87" t="e">
        <f t="shared" ca="1" si="26"/>
        <v>#REF!</v>
      </c>
      <c r="P170" s="88" t="e">
        <f t="shared" ca="1" si="27"/>
        <v>#REF!</v>
      </c>
      <c r="Q170" s="89" t="e">
        <f t="shared" ca="1" si="28"/>
        <v>#REF!</v>
      </c>
      <c r="R170" s="104" t="e">
        <f t="shared" ca="1" si="29"/>
        <v>#REF!</v>
      </c>
      <c r="S170" s="81"/>
      <c r="T170" s="82" t="str">
        <f>VLOOKUP(L170,[1]Upcoming!$A$5:$I$185,2,FALSE)</f>
        <v/>
      </c>
      <c r="U170" s="83" t="str">
        <f>VLOOKUP(L170,[1]Upcoming!$A$5:$I$185,3,FALSE)</f>
        <v/>
      </c>
      <c r="V170" s="84"/>
      <c r="W170" s="82" t="e">
        <f>IF(ISBLANK(VLOOKUP(I170,[1]Upcoming!$A$5:$I$185,4,FALSE)),"",VLOOKUP(I170,[1]Upcoming!$A$5:$I$185,4,FALSE))</f>
        <v>#N/A</v>
      </c>
      <c r="X170" s="83" t="e">
        <f>IF(ISBLANK(VLOOKUP(I170,[1]Upcoming!$A$5:$I$185,5,FALSE)),"",VLOOKUP(I170,[1]Upcoming!$A$5:$I$185,5,FALSE))</f>
        <v>#N/A</v>
      </c>
      <c r="Y170" s="84"/>
      <c r="Z170" s="82" t="str">
        <f>IF(ISBLANK(VLOOKUP(L170,[1]Upcoming!$A$5:$I$185,6,FALSE)),"",VLOOKUP(L170,[1]Upcoming!$A$5:$I$185,6,FALSE))</f>
        <v/>
      </c>
      <c r="AA170" s="83" t="str">
        <f>IF(ISBLANK(VLOOKUP(L170,[1]Upcoming!$A$5:$I$185,7,FALSE)),"",VLOOKUP(L170,[1]Upcoming!$A$5:$I$185,7,FALSE))</f>
        <v/>
      </c>
      <c r="AB170" s="84"/>
      <c r="AC170" s="82" t="str">
        <f>IF(ISBLANK(VLOOKUP(L170,[1]Upcoming!$A$5:$I$185,8,FALSE)),"",VLOOKUP(L170,[1]Upcoming!$A$5:$I$185,8,FALSE))</f>
        <v/>
      </c>
      <c r="AD170" s="83" t="str">
        <f>IF(ISBLANK(VLOOKUP(L170,[1]Upcoming!$A$5:$I$185,9,FALSE)),"",VLOOKUP(L170,[1]Upcoming!$A$5:$I$185,9,FALSE))</f>
        <v/>
      </c>
    </row>
    <row r="171" spans="11:30" ht="25.5" customHeight="1" thickBot="1" x14ac:dyDescent="0.3">
      <c r="K171" s="74" t="e">
        <f t="shared" ca="1" si="24"/>
        <v>#REF!</v>
      </c>
      <c r="L171" s="97" t="s">
        <v>24</v>
      </c>
      <c r="M171" s="86"/>
      <c r="N171" s="106" t="e">
        <f t="shared" ca="1" si="25"/>
        <v>#REF!</v>
      </c>
      <c r="O171" s="87" t="e">
        <f t="shared" ca="1" si="26"/>
        <v>#REF!</v>
      </c>
      <c r="P171" s="88" t="e">
        <f t="shared" ca="1" si="27"/>
        <v>#REF!</v>
      </c>
      <c r="Q171" s="89" t="e">
        <f t="shared" ca="1" si="28"/>
        <v>#REF!</v>
      </c>
      <c r="R171" s="112" t="e">
        <f t="shared" ca="1" si="29"/>
        <v>#REF!</v>
      </c>
      <c r="S171" s="81"/>
      <c r="T171" s="82" t="str">
        <f>VLOOKUP(L171,[1]Upcoming!$A$5:$I$185,2,FALSE)</f>
        <v/>
      </c>
      <c r="U171" s="83" t="str">
        <f>VLOOKUP(L171,[1]Upcoming!$A$5:$I$185,3,FALSE)</f>
        <v/>
      </c>
      <c r="V171" s="84"/>
      <c r="W171" s="82" t="e">
        <f>IF(ISBLANK(VLOOKUP(I171,[1]Upcoming!$A$5:$I$185,4,FALSE)),"",VLOOKUP(I171,[1]Upcoming!$A$5:$I$185,4,FALSE))</f>
        <v>#N/A</v>
      </c>
      <c r="X171" s="83" t="e">
        <f>IF(ISBLANK(VLOOKUP(I171,[1]Upcoming!$A$5:$I$185,5,FALSE)),"",VLOOKUP(I171,[1]Upcoming!$A$5:$I$185,5,FALSE))</f>
        <v>#N/A</v>
      </c>
      <c r="Y171" s="84"/>
      <c r="Z171" s="82" t="str">
        <f>IF(ISBLANK(VLOOKUP(L171,[1]Upcoming!$A$5:$I$185,6,FALSE)),"",VLOOKUP(L171,[1]Upcoming!$A$5:$I$185,6,FALSE))</f>
        <v/>
      </c>
      <c r="AA171" s="83" t="str">
        <f>IF(ISBLANK(VLOOKUP(L171,[1]Upcoming!$A$5:$I$185,7,FALSE)),"",VLOOKUP(L171,[1]Upcoming!$A$5:$I$185,7,FALSE))</f>
        <v/>
      </c>
      <c r="AB171" s="84"/>
      <c r="AC171" s="82" t="str">
        <f>IF(ISBLANK(VLOOKUP(L171,[1]Upcoming!$A$5:$I$185,8,FALSE)),"",VLOOKUP(L171,[1]Upcoming!$A$5:$I$185,8,FALSE))</f>
        <v/>
      </c>
      <c r="AD171" s="83" t="str">
        <f>IF(ISBLANK(VLOOKUP(L171,[1]Upcoming!$A$5:$I$185,9,FALSE)),"",VLOOKUP(L171,[1]Upcoming!$A$5:$I$185,9,FALSE))</f>
        <v/>
      </c>
    </row>
    <row r="172" spans="11:30" ht="25.5" customHeight="1" thickBot="1" x14ac:dyDescent="0.3">
      <c r="K172" s="74" t="e">
        <f t="shared" ca="1" si="24"/>
        <v>#REF!</v>
      </c>
      <c r="L172" s="97" t="s">
        <v>300</v>
      </c>
      <c r="M172" s="86"/>
      <c r="N172" s="106" t="e">
        <f t="shared" ca="1" si="25"/>
        <v>#REF!</v>
      </c>
      <c r="O172" s="87" t="e">
        <f t="shared" ca="1" si="26"/>
        <v>#REF!</v>
      </c>
      <c r="P172" s="88" t="e">
        <f t="shared" ca="1" si="27"/>
        <v>#REF!</v>
      </c>
      <c r="Q172" s="89" t="e">
        <f t="shared" ca="1" si="28"/>
        <v>#REF!</v>
      </c>
      <c r="R172" s="104" t="e">
        <f t="shared" ca="1" si="29"/>
        <v>#REF!</v>
      </c>
      <c r="S172" s="81"/>
      <c r="T172" s="82" t="str">
        <f>VLOOKUP(L172,[1]Upcoming!$A$5:$I$185,2,FALSE)</f>
        <v/>
      </c>
      <c r="U172" s="83" t="str">
        <f>VLOOKUP(L172,[1]Upcoming!$A$5:$I$185,3,FALSE)</f>
        <v/>
      </c>
      <c r="V172" s="84"/>
      <c r="W172" s="82" t="e">
        <f>IF(ISBLANK(VLOOKUP(I172,[1]Upcoming!$A$5:$I$185,4,FALSE)),"",VLOOKUP(I172,[1]Upcoming!$A$5:$I$185,4,FALSE))</f>
        <v>#N/A</v>
      </c>
      <c r="X172" s="83" t="e">
        <f>IF(ISBLANK(VLOOKUP(I172,[1]Upcoming!$A$5:$I$185,5,FALSE)),"",VLOOKUP(I172,[1]Upcoming!$A$5:$I$185,5,FALSE))</f>
        <v>#N/A</v>
      </c>
      <c r="Y172" s="84"/>
      <c r="Z172" s="82" t="str">
        <f>IF(ISBLANK(VLOOKUP(L172,[1]Upcoming!$A$5:$I$185,6,FALSE)),"",VLOOKUP(L172,[1]Upcoming!$A$5:$I$185,6,FALSE))</f>
        <v/>
      </c>
      <c r="AA172" s="83" t="str">
        <f>IF(ISBLANK(VLOOKUP(L172,[1]Upcoming!$A$5:$I$185,7,FALSE)),"",VLOOKUP(L172,[1]Upcoming!$A$5:$I$185,7,FALSE))</f>
        <v/>
      </c>
      <c r="AB172" s="84"/>
      <c r="AC172" s="82" t="str">
        <f>IF(ISBLANK(VLOOKUP(L172,[1]Upcoming!$A$5:$I$185,8,FALSE)),"",VLOOKUP(L172,[1]Upcoming!$A$5:$I$185,8,FALSE))</f>
        <v/>
      </c>
      <c r="AD172" s="83" t="str">
        <f>IF(ISBLANK(VLOOKUP(L172,[1]Upcoming!$A$5:$I$185,9,FALSE)),"",VLOOKUP(L172,[1]Upcoming!$A$5:$I$185,9,FALSE))</f>
        <v/>
      </c>
    </row>
    <row r="173" spans="11:30" ht="25.5" customHeight="1" thickBot="1" x14ac:dyDescent="0.3">
      <c r="K173" s="74" t="e">
        <f t="shared" ca="1" si="24"/>
        <v>#REF!</v>
      </c>
      <c r="L173" s="97" t="s">
        <v>328</v>
      </c>
      <c r="M173" s="86"/>
      <c r="N173" s="106" t="e">
        <f t="shared" ca="1" si="25"/>
        <v>#REF!</v>
      </c>
      <c r="O173" s="87" t="e">
        <f t="shared" ca="1" si="26"/>
        <v>#REF!</v>
      </c>
      <c r="P173" s="88" t="e">
        <f t="shared" ca="1" si="27"/>
        <v>#REF!</v>
      </c>
      <c r="Q173" s="89" t="e">
        <f t="shared" ca="1" si="28"/>
        <v>#REF!</v>
      </c>
      <c r="R173" s="112" t="e">
        <f t="shared" ca="1" si="29"/>
        <v>#REF!</v>
      </c>
      <c r="S173" s="81"/>
      <c r="T173" s="82" t="str">
        <f>VLOOKUP(L173,[1]Upcoming!$A$5:$I$185,2,FALSE)</f>
        <v/>
      </c>
      <c r="U173" s="83" t="str">
        <f>VLOOKUP(L173,[1]Upcoming!$A$5:$I$185,3,FALSE)</f>
        <v/>
      </c>
      <c r="V173" s="84"/>
      <c r="W173" s="82" t="e">
        <f>IF(ISBLANK(VLOOKUP(I173,[1]Upcoming!$A$5:$I$185,4,FALSE)),"",VLOOKUP(I173,[1]Upcoming!$A$5:$I$185,4,FALSE))</f>
        <v>#N/A</v>
      </c>
      <c r="X173" s="83" t="e">
        <f>IF(ISBLANK(VLOOKUP(I173,[1]Upcoming!$A$5:$I$185,5,FALSE)),"",VLOOKUP(I173,[1]Upcoming!$A$5:$I$185,5,FALSE))</f>
        <v>#N/A</v>
      </c>
      <c r="Y173" s="84"/>
      <c r="Z173" s="82" t="str">
        <f>IF(ISBLANK(VLOOKUP(L173,[1]Upcoming!$A$5:$I$185,6,FALSE)),"",VLOOKUP(L173,[1]Upcoming!$A$5:$I$185,6,FALSE))</f>
        <v/>
      </c>
      <c r="AA173" s="83" t="str">
        <f>IF(ISBLANK(VLOOKUP(L173,[1]Upcoming!$A$5:$I$185,7,FALSE)),"",VLOOKUP(L173,[1]Upcoming!$A$5:$I$185,7,FALSE))</f>
        <v/>
      </c>
      <c r="AB173" s="84"/>
      <c r="AC173" s="82" t="str">
        <f>IF(ISBLANK(VLOOKUP(L173,[1]Upcoming!$A$5:$I$185,8,FALSE)),"",VLOOKUP(L173,[1]Upcoming!$A$5:$I$185,8,FALSE))</f>
        <v/>
      </c>
      <c r="AD173" s="83" t="str">
        <f>IF(ISBLANK(VLOOKUP(L173,[1]Upcoming!$A$5:$I$185,9,FALSE)),"",VLOOKUP(L173,[1]Upcoming!$A$5:$I$185,9,FALSE))</f>
        <v/>
      </c>
    </row>
    <row r="174" spans="11:30" ht="25.5" customHeight="1" thickBot="1" x14ac:dyDescent="0.3">
      <c r="K174" s="74" t="e">
        <f t="shared" ca="1" si="24"/>
        <v>#REF!</v>
      </c>
      <c r="L174" s="97" t="s">
        <v>276</v>
      </c>
      <c r="M174" s="86"/>
      <c r="N174" s="106" t="e">
        <f t="shared" ca="1" si="25"/>
        <v>#REF!</v>
      </c>
      <c r="O174" s="87" t="e">
        <f t="shared" ca="1" si="26"/>
        <v>#REF!</v>
      </c>
      <c r="P174" s="88" t="e">
        <f t="shared" ca="1" si="27"/>
        <v>#REF!</v>
      </c>
      <c r="Q174" s="89" t="e">
        <f t="shared" ca="1" si="28"/>
        <v>#REF!</v>
      </c>
      <c r="R174" s="104" t="e">
        <f t="shared" ca="1" si="29"/>
        <v>#REF!</v>
      </c>
      <c r="S174" s="81"/>
      <c r="T174" s="82" t="str">
        <f>VLOOKUP(L174,[1]Upcoming!$A$5:$I$185,2,FALSE)</f>
        <v/>
      </c>
      <c r="U174" s="83" t="str">
        <f>VLOOKUP(L174,[1]Upcoming!$A$5:$I$185,3,FALSE)</f>
        <v/>
      </c>
      <c r="V174" s="84"/>
      <c r="W174" s="82" t="e">
        <f>IF(ISBLANK(VLOOKUP(I174,[1]Upcoming!$A$5:$I$185,4,FALSE)),"",VLOOKUP(I174,[1]Upcoming!$A$5:$I$185,4,FALSE))</f>
        <v>#N/A</v>
      </c>
      <c r="X174" s="83" t="e">
        <f>IF(ISBLANK(VLOOKUP(I174,[1]Upcoming!$A$5:$I$185,5,FALSE)),"",VLOOKUP(I174,[1]Upcoming!$A$5:$I$185,5,FALSE))</f>
        <v>#N/A</v>
      </c>
      <c r="Y174" s="84"/>
      <c r="Z174" s="82" t="str">
        <f>IF(ISBLANK(VLOOKUP(L174,[1]Upcoming!$A$5:$I$185,6,FALSE)),"",VLOOKUP(L174,[1]Upcoming!$A$5:$I$185,6,FALSE))</f>
        <v/>
      </c>
      <c r="AA174" s="83" t="str">
        <f>IF(ISBLANK(VLOOKUP(L174,[1]Upcoming!$A$5:$I$185,7,FALSE)),"",VLOOKUP(L174,[1]Upcoming!$A$5:$I$185,7,FALSE))</f>
        <v/>
      </c>
      <c r="AB174" s="84"/>
      <c r="AC174" s="82" t="str">
        <f>IF(ISBLANK(VLOOKUP(L174,[1]Upcoming!$A$5:$I$185,8,FALSE)),"",VLOOKUP(L174,[1]Upcoming!$A$5:$I$185,8,FALSE))</f>
        <v/>
      </c>
      <c r="AD174" s="83" t="str">
        <f>IF(ISBLANK(VLOOKUP(L174,[1]Upcoming!$A$5:$I$185,9,FALSE)),"",VLOOKUP(L174,[1]Upcoming!$A$5:$I$185,9,FALSE))</f>
        <v/>
      </c>
    </row>
    <row r="175" spans="11:30" ht="25.5" customHeight="1" thickBot="1" x14ac:dyDescent="0.3">
      <c r="K175" s="74" t="e">
        <f t="shared" ca="1" si="24"/>
        <v>#REF!</v>
      </c>
      <c r="L175" s="97" t="s">
        <v>287</v>
      </c>
      <c r="M175" s="86"/>
      <c r="N175" s="106" t="e">
        <f t="shared" ca="1" si="25"/>
        <v>#REF!</v>
      </c>
      <c r="O175" s="87" t="e">
        <f t="shared" ca="1" si="26"/>
        <v>#REF!</v>
      </c>
      <c r="P175" s="88" t="e">
        <f t="shared" ca="1" si="27"/>
        <v>#REF!</v>
      </c>
      <c r="Q175" s="89" t="e">
        <f t="shared" ca="1" si="28"/>
        <v>#REF!</v>
      </c>
      <c r="R175" s="112" t="e">
        <f t="shared" ca="1" si="29"/>
        <v>#REF!</v>
      </c>
      <c r="S175" s="81"/>
      <c r="T175" s="82" t="str">
        <f>VLOOKUP(L175,[1]Upcoming!$A$5:$I$185,2,FALSE)</f>
        <v/>
      </c>
      <c r="U175" s="83" t="str">
        <f>VLOOKUP(L175,[1]Upcoming!$A$5:$I$185,3,FALSE)</f>
        <v/>
      </c>
      <c r="V175" s="84"/>
      <c r="W175" s="82" t="e">
        <f>IF(ISBLANK(VLOOKUP(I175,[1]Upcoming!$A$5:$I$185,4,FALSE)),"",VLOOKUP(I175,[1]Upcoming!$A$5:$I$185,4,FALSE))</f>
        <v>#N/A</v>
      </c>
      <c r="X175" s="83" t="e">
        <f>IF(ISBLANK(VLOOKUP(I175,[1]Upcoming!$A$5:$I$185,5,FALSE)),"",VLOOKUP(I175,[1]Upcoming!$A$5:$I$185,5,FALSE))</f>
        <v>#N/A</v>
      </c>
      <c r="Y175" s="84"/>
      <c r="Z175" s="82" t="str">
        <f>IF(ISBLANK(VLOOKUP(L175,[1]Upcoming!$A$5:$I$185,6,FALSE)),"",VLOOKUP(L175,[1]Upcoming!$A$5:$I$185,6,FALSE))</f>
        <v/>
      </c>
      <c r="AA175" s="83" t="str">
        <f>IF(ISBLANK(VLOOKUP(L175,[1]Upcoming!$A$5:$I$185,7,FALSE)),"",VLOOKUP(L175,[1]Upcoming!$A$5:$I$185,7,FALSE))</f>
        <v/>
      </c>
      <c r="AB175" s="84"/>
      <c r="AC175" s="82" t="str">
        <f>IF(ISBLANK(VLOOKUP(L175,[1]Upcoming!$A$5:$I$185,8,FALSE)),"",VLOOKUP(L175,[1]Upcoming!$A$5:$I$185,8,FALSE))</f>
        <v/>
      </c>
      <c r="AD175" s="83" t="str">
        <f>IF(ISBLANK(VLOOKUP(L175,[1]Upcoming!$A$5:$I$185,9,FALSE)),"",VLOOKUP(L175,[1]Upcoming!$A$5:$I$185,9,FALSE))</f>
        <v/>
      </c>
    </row>
    <row r="176" spans="11:30" ht="25.5" customHeight="1" thickBot="1" x14ac:dyDescent="0.3">
      <c r="K176" s="74" t="e">
        <f t="shared" ca="1" si="24"/>
        <v>#REF!</v>
      </c>
      <c r="L176" s="97" t="s">
        <v>293</v>
      </c>
      <c r="M176" s="86"/>
      <c r="N176" s="106" t="e">
        <f t="shared" ca="1" si="25"/>
        <v>#REF!</v>
      </c>
      <c r="O176" s="87" t="e">
        <f t="shared" ca="1" si="26"/>
        <v>#REF!</v>
      </c>
      <c r="P176" s="88" t="e">
        <f t="shared" ca="1" si="27"/>
        <v>#REF!</v>
      </c>
      <c r="Q176" s="89" t="e">
        <f t="shared" ca="1" si="28"/>
        <v>#REF!</v>
      </c>
      <c r="R176" s="112" t="e">
        <f t="shared" ca="1" si="29"/>
        <v>#REF!</v>
      </c>
      <c r="S176" s="81"/>
      <c r="T176" s="82" t="str">
        <f>VLOOKUP(L176,[1]Upcoming!$A$5:$I$185,2,FALSE)</f>
        <v/>
      </c>
      <c r="U176" s="83" t="str">
        <f>VLOOKUP(L176,[1]Upcoming!$A$5:$I$185,3,FALSE)</f>
        <v/>
      </c>
      <c r="V176" s="84"/>
      <c r="W176" s="82" t="e">
        <f>IF(ISBLANK(VLOOKUP(I176,[1]Upcoming!$A$5:$I$185,4,FALSE)),"",VLOOKUP(I176,[1]Upcoming!$A$5:$I$185,4,FALSE))</f>
        <v>#N/A</v>
      </c>
      <c r="X176" s="83" t="e">
        <f>IF(ISBLANK(VLOOKUP(I176,[1]Upcoming!$A$5:$I$185,5,FALSE)),"",VLOOKUP(I176,[1]Upcoming!$A$5:$I$185,5,FALSE))</f>
        <v>#N/A</v>
      </c>
      <c r="Y176" s="84"/>
      <c r="Z176" s="82" t="str">
        <f>IF(ISBLANK(VLOOKUP(L176,[1]Upcoming!$A$5:$I$185,6,FALSE)),"",VLOOKUP(L176,[1]Upcoming!$A$5:$I$185,6,FALSE))</f>
        <v/>
      </c>
      <c r="AA176" s="83" t="str">
        <f>IF(ISBLANK(VLOOKUP(L176,[1]Upcoming!$A$5:$I$185,7,FALSE)),"",VLOOKUP(L176,[1]Upcoming!$A$5:$I$185,7,FALSE))</f>
        <v/>
      </c>
      <c r="AB176" s="84"/>
      <c r="AC176" s="82" t="str">
        <f>IF(ISBLANK(VLOOKUP(L176,[1]Upcoming!$A$5:$I$185,8,FALSE)),"",VLOOKUP(L176,[1]Upcoming!$A$5:$I$185,8,FALSE))</f>
        <v/>
      </c>
      <c r="AD176" s="83" t="str">
        <f>IF(ISBLANK(VLOOKUP(L176,[1]Upcoming!$A$5:$I$185,9,FALSE)),"",VLOOKUP(L176,[1]Upcoming!$A$5:$I$185,9,FALSE))</f>
        <v/>
      </c>
    </row>
    <row r="177" spans="11:30" ht="25.5" customHeight="1" thickBot="1" x14ac:dyDescent="0.3">
      <c r="K177" s="74" t="e">
        <f t="shared" ca="1" si="24"/>
        <v>#REF!</v>
      </c>
      <c r="L177" s="97" t="s">
        <v>331</v>
      </c>
      <c r="M177" s="86"/>
      <c r="N177" s="106" t="e">
        <f t="shared" ca="1" si="25"/>
        <v>#REF!</v>
      </c>
      <c r="O177" s="87" t="e">
        <f t="shared" ca="1" si="26"/>
        <v>#REF!</v>
      </c>
      <c r="P177" s="88" t="e">
        <f t="shared" ca="1" si="27"/>
        <v>#REF!</v>
      </c>
      <c r="Q177" s="89" t="e">
        <f t="shared" ca="1" si="28"/>
        <v>#REF!</v>
      </c>
      <c r="R177" s="112" t="e">
        <f t="shared" ca="1" si="29"/>
        <v>#REF!</v>
      </c>
      <c r="S177" s="81"/>
      <c r="T177" s="82" t="str">
        <f>VLOOKUP(L177,[1]Upcoming!$A$5:$I$185,2,FALSE)</f>
        <v/>
      </c>
      <c r="U177" s="83" t="str">
        <f>VLOOKUP(L177,[1]Upcoming!$A$5:$I$185,3,FALSE)</f>
        <v/>
      </c>
      <c r="V177" s="84"/>
      <c r="W177" s="82" t="e">
        <f>IF(ISBLANK(VLOOKUP(I177,[1]Upcoming!$A$5:$I$185,4,FALSE)),"",VLOOKUP(I177,[1]Upcoming!$A$5:$I$185,4,FALSE))</f>
        <v>#N/A</v>
      </c>
      <c r="X177" s="83" t="e">
        <f>IF(ISBLANK(VLOOKUP(I177,[1]Upcoming!$A$5:$I$185,5,FALSE)),"",VLOOKUP(I177,[1]Upcoming!$A$5:$I$185,5,FALSE))</f>
        <v>#N/A</v>
      </c>
      <c r="Y177" s="84"/>
      <c r="Z177" s="82" t="str">
        <f>IF(ISBLANK(VLOOKUP(L177,[1]Upcoming!$A$5:$I$185,6,FALSE)),"",VLOOKUP(L177,[1]Upcoming!$A$5:$I$185,6,FALSE))</f>
        <v/>
      </c>
      <c r="AA177" s="83" t="str">
        <f>IF(ISBLANK(VLOOKUP(L177,[1]Upcoming!$A$5:$I$185,7,FALSE)),"",VLOOKUP(L177,[1]Upcoming!$A$5:$I$185,7,FALSE))</f>
        <v/>
      </c>
      <c r="AB177" s="84"/>
      <c r="AC177" s="82" t="str">
        <f>IF(ISBLANK(VLOOKUP(L177,[1]Upcoming!$A$5:$I$185,8,FALSE)),"",VLOOKUP(L177,[1]Upcoming!$A$5:$I$185,8,FALSE))</f>
        <v/>
      </c>
      <c r="AD177" s="83" t="str">
        <f>IF(ISBLANK(VLOOKUP(L177,[1]Upcoming!$A$5:$I$185,9,FALSE)),"",VLOOKUP(L177,[1]Upcoming!$A$5:$I$185,9,FALSE))</f>
        <v/>
      </c>
    </row>
    <row r="178" spans="11:30" ht="25.5" customHeight="1" thickBot="1" x14ac:dyDescent="0.3">
      <c r="K178" s="74" t="e">
        <f t="shared" ca="1" si="24"/>
        <v>#REF!</v>
      </c>
      <c r="L178" s="97" t="s">
        <v>69</v>
      </c>
      <c r="M178" s="86"/>
      <c r="N178" s="106" t="e">
        <f t="shared" ca="1" si="25"/>
        <v>#REF!</v>
      </c>
      <c r="O178" s="87" t="e">
        <f t="shared" ca="1" si="26"/>
        <v>#REF!</v>
      </c>
      <c r="P178" s="88" t="e">
        <f t="shared" ca="1" si="27"/>
        <v>#REF!</v>
      </c>
      <c r="Q178" s="89" t="e">
        <f t="shared" ca="1" si="28"/>
        <v>#REF!</v>
      </c>
      <c r="R178" s="104" t="e">
        <f t="shared" ca="1" si="29"/>
        <v>#REF!</v>
      </c>
      <c r="S178" s="81"/>
      <c r="T178" s="82" t="str">
        <f>VLOOKUP(L178,[1]Upcoming!$A$5:$I$185,2,FALSE)</f>
        <v/>
      </c>
      <c r="U178" s="83" t="str">
        <f>VLOOKUP(L178,[1]Upcoming!$A$5:$I$185,3,FALSE)</f>
        <v/>
      </c>
      <c r="V178" s="84"/>
      <c r="W178" s="82" t="e">
        <f>IF(ISBLANK(VLOOKUP(I178,[1]Upcoming!$A$5:$I$185,4,FALSE)),"",VLOOKUP(I178,[1]Upcoming!$A$5:$I$185,4,FALSE))</f>
        <v>#N/A</v>
      </c>
      <c r="X178" s="83" t="e">
        <f>IF(ISBLANK(VLOOKUP(I178,[1]Upcoming!$A$5:$I$185,5,FALSE)),"",VLOOKUP(I178,[1]Upcoming!$A$5:$I$185,5,FALSE))</f>
        <v>#N/A</v>
      </c>
      <c r="Y178" s="84"/>
      <c r="Z178" s="82" t="str">
        <f>IF(ISBLANK(VLOOKUP(L178,[1]Upcoming!$A$5:$I$185,6,FALSE)),"",VLOOKUP(L178,[1]Upcoming!$A$5:$I$185,6,FALSE))</f>
        <v/>
      </c>
      <c r="AA178" s="83" t="str">
        <f>IF(ISBLANK(VLOOKUP(L178,[1]Upcoming!$A$5:$I$185,7,FALSE)),"",VLOOKUP(L178,[1]Upcoming!$A$5:$I$185,7,FALSE))</f>
        <v/>
      </c>
      <c r="AB178" s="84"/>
      <c r="AC178" s="82" t="str">
        <f>IF(ISBLANK(VLOOKUP(L178,[1]Upcoming!$A$5:$I$185,8,FALSE)),"",VLOOKUP(L178,[1]Upcoming!$A$5:$I$185,8,FALSE))</f>
        <v/>
      </c>
      <c r="AD178" s="83" t="str">
        <f>IF(ISBLANK(VLOOKUP(L178,[1]Upcoming!$A$5:$I$185,9,FALSE)),"",VLOOKUP(L178,[1]Upcoming!$A$5:$I$185,9,FALSE))</f>
        <v/>
      </c>
    </row>
    <row r="179" spans="11:30" ht="25.5" customHeight="1" thickBot="1" x14ac:dyDescent="0.3">
      <c r="K179" s="74" t="e">
        <f t="shared" ca="1" si="24"/>
        <v>#REF!</v>
      </c>
      <c r="L179" s="97" t="s">
        <v>352</v>
      </c>
      <c r="M179" s="86"/>
      <c r="N179" s="106" t="e">
        <f t="shared" ca="1" si="25"/>
        <v>#REF!</v>
      </c>
      <c r="O179" s="87" t="e">
        <f t="shared" ca="1" si="26"/>
        <v>#REF!</v>
      </c>
      <c r="P179" s="88" t="e">
        <f t="shared" ca="1" si="27"/>
        <v>#REF!</v>
      </c>
      <c r="Q179" s="89" t="e">
        <f t="shared" ca="1" si="28"/>
        <v>#REF!</v>
      </c>
      <c r="R179" s="112" t="e">
        <f t="shared" ca="1" si="29"/>
        <v>#REF!</v>
      </c>
      <c r="S179" s="81"/>
      <c r="T179" s="82" t="str">
        <f>VLOOKUP(L179,[1]Upcoming!$A$5:$I$185,2,FALSE)</f>
        <v/>
      </c>
      <c r="U179" s="83" t="str">
        <f>VLOOKUP(L179,[1]Upcoming!$A$5:$I$185,3,FALSE)</f>
        <v/>
      </c>
      <c r="V179" s="84"/>
      <c r="W179" s="82" t="e">
        <f>IF(ISBLANK(VLOOKUP(I179,[1]Upcoming!$A$5:$I$185,4,FALSE)),"",VLOOKUP(I179,[1]Upcoming!$A$5:$I$185,4,FALSE))</f>
        <v>#N/A</v>
      </c>
      <c r="X179" s="83" t="e">
        <f>IF(ISBLANK(VLOOKUP(I179,[1]Upcoming!$A$5:$I$185,5,FALSE)),"",VLOOKUP(I179,[1]Upcoming!$A$5:$I$185,5,FALSE))</f>
        <v>#N/A</v>
      </c>
      <c r="Y179" s="84"/>
      <c r="Z179" s="82" t="str">
        <f>IF(ISBLANK(VLOOKUP(L179,[1]Upcoming!$A$5:$I$185,6,FALSE)),"",VLOOKUP(L179,[1]Upcoming!$A$5:$I$185,6,FALSE))</f>
        <v/>
      </c>
      <c r="AA179" s="83" t="str">
        <f>IF(ISBLANK(VLOOKUP(L179,[1]Upcoming!$A$5:$I$185,7,FALSE)),"",VLOOKUP(L179,[1]Upcoming!$A$5:$I$185,7,FALSE))</f>
        <v/>
      </c>
      <c r="AB179" s="84"/>
      <c r="AC179" s="82" t="str">
        <f>IF(ISBLANK(VLOOKUP(L179,[1]Upcoming!$A$5:$I$185,8,FALSE)),"",VLOOKUP(L179,[1]Upcoming!$A$5:$I$185,8,FALSE))</f>
        <v/>
      </c>
      <c r="AD179" s="83" t="str">
        <f>IF(ISBLANK(VLOOKUP(L179,[1]Upcoming!$A$5:$I$185,9,FALSE)),"",VLOOKUP(L179,[1]Upcoming!$A$5:$I$185,9,FALSE))</f>
        <v/>
      </c>
    </row>
    <row r="180" spans="11:30" ht="25.5" customHeight="1" thickBot="1" x14ac:dyDescent="0.3">
      <c r="K180" s="74" t="e">
        <f t="shared" ref="K180:K200" ca="1" si="30">RANK(N180,$N$20:$N$200,0)</f>
        <v>#REF!</v>
      </c>
      <c r="L180" s="97" t="s">
        <v>311</v>
      </c>
      <c r="M180" s="86"/>
      <c r="N180" s="106" t="e">
        <f t="shared" ref="N180:N211" ca="1" si="31">O180+P180</f>
        <v>#REF!</v>
      </c>
      <c r="O180" s="87" t="e">
        <f t="shared" ref="O180:O200" ca="1" si="32">INDIRECT("'[summary.xls]"&amp;L180&amp;"'!$F$99")</f>
        <v>#REF!</v>
      </c>
      <c r="P180" s="88" t="e">
        <f t="shared" ref="P180:P200" ca="1" si="33">INDIRECT("'[summary.xls]"&amp;L180&amp;"'!$F$172")</f>
        <v>#REF!</v>
      </c>
      <c r="Q180" s="89" t="e">
        <f t="shared" ca="1" si="28"/>
        <v>#REF!</v>
      </c>
      <c r="R180" s="112" t="e">
        <f t="shared" ref="R180:R200" ca="1" si="34">INDIRECT("'[summary.xls]"&amp;L180&amp;"'!$F$218")</f>
        <v>#REF!</v>
      </c>
      <c r="S180" s="81"/>
      <c r="T180" s="82" t="str">
        <f>VLOOKUP(L180,[1]Upcoming!$A$5:$I$185,2,FALSE)</f>
        <v/>
      </c>
      <c r="U180" s="83" t="str">
        <f>VLOOKUP(L180,[1]Upcoming!$A$5:$I$185,3,FALSE)</f>
        <v/>
      </c>
      <c r="V180" s="84"/>
      <c r="W180" s="82" t="e">
        <f>IF(ISBLANK(VLOOKUP(I180,[1]Upcoming!$A$5:$I$185,4,FALSE)),"",VLOOKUP(I180,[1]Upcoming!$A$5:$I$185,4,FALSE))</f>
        <v>#N/A</v>
      </c>
      <c r="X180" s="83" t="e">
        <f>IF(ISBLANK(VLOOKUP(I180,[1]Upcoming!$A$5:$I$185,5,FALSE)),"",VLOOKUP(I180,[1]Upcoming!$A$5:$I$185,5,FALSE))</f>
        <v>#N/A</v>
      </c>
      <c r="Y180" s="84"/>
      <c r="Z180" s="82" t="str">
        <f>IF(ISBLANK(VLOOKUP(L180,[1]Upcoming!$A$5:$I$185,6,FALSE)),"",VLOOKUP(L180,[1]Upcoming!$A$5:$I$185,6,FALSE))</f>
        <v/>
      </c>
      <c r="AA180" s="83" t="str">
        <f>IF(ISBLANK(VLOOKUP(L180,[1]Upcoming!$A$5:$I$185,7,FALSE)),"",VLOOKUP(L180,[1]Upcoming!$A$5:$I$185,7,FALSE))</f>
        <v/>
      </c>
      <c r="AB180" s="84"/>
      <c r="AC180" s="82" t="str">
        <f>IF(ISBLANK(VLOOKUP(L180,[1]Upcoming!$A$5:$I$185,8,FALSE)),"",VLOOKUP(L180,[1]Upcoming!$A$5:$I$185,8,FALSE))</f>
        <v/>
      </c>
      <c r="AD180" s="83" t="str">
        <f>IF(ISBLANK(VLOOKUP(L180,[1]Upcoming!$A$5:$I$185,9,FALSE)),"",VLOOKUP(L180,[1]Upcoming!$A$5:$I$185,9,FALSE))</f>
        <v/>
      </c>
    </row>
    <row r="181" spans="11:30" ht="25.5" customHeight="1" thickBot="1" x14ac:dyDescent="0.3">
      <c r="K181" s="74" t="e">
        <f t="shared" ca="1" si="30"/>
        <v>#REF!</v>
      </c>
      <c r="L181" s="97" t="s">
        <v>281</v>
      </c>
      <c r="M181" s="86"/>
      <c r="N181" s="106" t="e">
        <f t="shared" ca="1" si="31"/>
        <v>#REF!</v>
      </c>
      <c r="O181" s="87" t="e">
        <f t="shared" ca="1" si="32"/>
        <v>#REF!</v>
      </c>
      <c r="P181" s="88" t="e">
        <f t="shared" ca="1" si="33"/>
        <v>#REF!</v>
      </c>
      <c r="Q181" s="89" t="e">
        <f t="shared" ca="1" si="28"/>
        <v>#REF!</v>
      </c>
      <c r="R181" s="112" t="e">
        <f t="shared" ca="1" si="34"/>
        <v>#REF!</v>
      </c>
      <c r="S181" s="81"/>
      <c r="T181" s="82" t="str">
        <f>VLOOKUP(L181,[1]Upcoming!$A$5:$I$185,2,FALSE)</f>
        <v/>
      </c>
      <c r="U181" s="83" t="str">
        <f>VLOOKUP(L181,[1]Upcoming!$A$5:$I$185,3,FALSE)</f>
        <v/>
      </c>
      <c r="V181" s="84"/>
      <c r="W181" s="82" t="e">
        <f>IF(ISBLANK(VLOOKUP(I181,[1]Upcoming!$A$5:$I$185,4,FALSE)),"",VLOOKUP(I181,[1]Upcoming!$A$5:$I$185,4,FALSE))</f>
        <v>#N/A</v>
      </c>
      <c r="X181" s="83" t="e">
        <f>IF(ISBLANK(VLOOKUP(I181,[1]Upcoming!$A$5:$I$185,5,FALSE)),"",VLOOKUP(I181,[1]Upcoming!$A$5:$I$185,5,FALSE))</f>
        <v>#N/A</v>
      </c>
      <c r="Y181" s="84"/>
      <c r="Z181" s="82" t="str">
        <f>IF(ISBLANK(VLOOKUP(L181,[1]Upcoming!$A$5:$I$185,6,FALSE)),"",VLOOKUP(L181,[1]Upcoming!$A$5:$I$185,6,FALSE))</f>
        <v/>
      </c>
      <c r="AA181" s="83" t="str">
        <f>IF(ISBLANK(VLOOKUP(L181,[1]Upcoming!$A$5:$I$185,7,FALSE)),"",VLOOKUP(L181,[1]Upcoming!$A$5:$I$185,7,FALSE))</f>
        <v/>
      </c>
      <c r="AB181" s="84"/>
      <c r="AC181" s="82" t="str">
        <f>IF(ISBLANK(VLOOKUP(L181,[1]Upcoming!$A$5:$I$185,8,FALSE)),"",VLOOKUP(L181,[1]Upcoming!$A$5:$I$185,8,FALSE))</f>
        <v/>
      </c>
      <c r="AD181" s="83" t="str">
        <f>IF(ISBLANK(VLOOKUP(L181,[1]Upcoming!$A$5:$I$185,9,FALSE)),"",VLOOKUP(L181,[1]Upcoming!$A$5:$I$185,9,FALSE))</f>
        <v/>
      </c>
    </row>
    <row r="182" spans="11:30" ht="25.5" customHeight="1" thickBot="1" x14ac:dyDescent="0.3">
      <c r="K182" s="74" t="e">
        <f t="shared" ca="1" si="30"/>
        <v>#REF!</v>
      </c>
      <c r="L182" s="97" t="s">
        <v>285</v>
      </c>
      <c r="M182" s="86"/>
      <c r="N182" s="106" t="e">
        <f t="shared" ca="1" si="31"/>
        <v>#REF!</v>
      </c>
      <c r="O182" s="87" t="e">
        <f t="shared" ca="1" si="32"/>
        <v>#REF!</v>
      </c>
      <c r="P182" s="88" t="e">
        <f t="shared" ca="1" si="33"/>
        <v>#REF!</v>
      </c>
      <c r="Q182" s="89" t="e">
        <f t="shared" ca="1" si="28"/>
        <v>#REF!</v>
      </c>
      <c r="R182" s="112" t="e">
        <f t="shared" ca="1" si="34"/>
        <v>#REF!</v>
      </c>
      <c r="S182" s="81"/>
      <c r="T182" s="82" t="str">
        <f>VLOOKUP(L182,[1]Upcoming!$A$5:$I$185,2,FALSE)</f>
        <v/>
      </c>
      <c r="U182" s="83" t="str">
        <f>VLOOKUP(L182,[1]Upcoming!$A$5:$I$185,3,FALSE)</f>
        <v/>
      </c>
      <c r="V182" s="84"/>
      <c r="W182" s="82" t="e">
        <f>IF(ISBLANK(VLOOKUP(I182,[1]Upcoming!$A$5:$I$185,4,FALSE)),"",VLOOKUP(I182,[1]Upcoming!$A$5:$I$185,4,FALSE))</f>
        <v>#N/A</v>
      </c>
      <c r="X182" s="83" t="e">
        <f>IF(ISBLANK(VLOOKUP(I182,[1]Upcoming!$A$5:$I$185,5,FALSE)),"",VLOOKUP(I182,[1]Upcoming!$A$5:$I$185,5,FALSE))</f>
        <v>#N/A</v>
      </c>
      <c r="Y182" s="84"/>
      <c r="Z182" s="82" t="str">
        <f>IF(ISBLANK(VLOOKUP(L182,[1]Upcoming!$A$5:$I$185,6,FALSE)),"",VLOOKUP(L182,[1]Upcoming!$A$5:$I$185,6,FALSE))</f>
        <v/>
      </c>
      <c r="AA182" s="83" t="str">
        <f>IF(ISBLANK(VLOOKUP(L182,[1]Upcoming!$A$5:$I$185,7,FALSE)),"",VLOOKUP(L182,[1]Upcoming!$A$5:$I$185,7,FALSE))</f>
        <v/>
      </c>
      <c r="AB182" s="84"/>
      <c r="AC182" s="82" t="str">
        <f>IF(ISBLANK(VLOOKUP(L182,[1]Upcoming!$A$5:$I$185,8,FALSE)),"",VLOOKUP(L182,[1]Upcoming!$A$5:$I$185,8,FALSE))</f>
        <v/>
      </c>
      <c r="AD182" s="83" t="str">
        <f>IF(ISBLANK(VLOOKUP(L182,[1]Upcoming!$A$5:$I$185,9,FALSE)),"",VLOOKUP(L182,[1]Upcoming!$A$5:$I$185,9,FALSE))</f>
        <v/>
      </c>
    </row>
    <row r="183" spans="11:30" ht="25.5" customHeight="1" thickBot="1" x14ac:dyDescent="0.3">
      <c r="K183" s="74" t="e">
        <f t="shared" ca="1" si="30"/>
        <v>#REF!</v>
      </c>
      <c r="L183" s="97" t="s">
        <v>315</v>
      </c>
      <c r="M183" s="86"/>
      <c r="N183" s="106" t="e">
        <f t="shared" ca="1" si="31"/>
        <v>#REF!</v>
      </c>
      <c r="O183" s="87" t="e">
        <f t="shared" ca="1" si="32"/>
        <v>#REF!</v>
      </c>
      <c r="P183" s="88" t="e">
        <f t="shared" ca="1" si="33"/>
        <v>#REF!</v>
      </c>
      <c r="Q183" s="89">
        <v>0</v>
      </c>
      <c r="R183" s="104" t="e">
        <f t="shared" ca="1" si="34"/>
        <v>#REF!</v>
      </c>
      <c r="S183" s="81"/>
      <c r="T183" s="82" t="str">
        <f>VLOOKUP(L183,[1]Upcoming!$A$5:$I$185,2,FALSE)</f>
        <v/>
      </c>
      <c r="U183" s="83" t="str">
        <f>VLOOKUP(L183,[1]Upcoming!$A$5:$I$185,3,FALSE)</f>
        <v/>
      </c>
      <c r="V183" s="84"/>
      <c r="W183" s="82" t="e">
        <f>IF(ISBLANK(VLOOKUP(I183,[1]Upcoming!$A$5:$I$185,4,FALSE)),"",VLOOKUP(I183,[1]Upcoming!$A$5:$I$185,4,FALSE))</f>
        <v>#N/A</v>
      </c>
      <c r="X183" s="83" t="e">
        <f>IF(ISBLANK(VLOOKUP(I183,[1]Upcoming!$A$5:$I$185,5,FALSE)),"",VLOOKUP(I183,[1]Upcoming!$A$5:$I$185,5,FALSE))</f>
        <v>#N/A</v>
      </c>
      <c r="Y183" s="84"/>
      <c r="Z183" s="82" t="str">
        <f>IF(ISBLANK(VLOOKUP(L183,[1]Upcoming!$A$5:$I$185,6,FALSE)),"",VLOOKUP(L183,[1]Upcoming!$A$5:$I$185,6,FALSE))</f>
        <v/>
      </c>
      <c r="AA183" s="83" t="str">
        <f>IF(ISBLANK(VLOOKUP(L183,[1]Upcoming!$A$5:$I$185,7,FALSE)),"",VLOOKUP(L183,[1]Upcoming!$A$5:$I$185,7,FALSE))</f>
        <v/>
      </c>
      <c r="AB183" s="84"/>
      <c r="AC183" s="82" t="str">
        <f>IF(ISBLANK(VLOOKUP(L183,[1]Upcoming!$A$5:$I$185,8,FALSE)),"",VLOOKUP(L183,[1]Upcoming!$A$5:$I$185,8,FALSE))</f>
        <v/>
      </c>
      <c r="AD183" s="83" t="str">
        <f>IF(ISBLANK(VLOOKUP(L183,[1]Upcoming!$A$5:$I$185,9,FALSE)),"",VLOOKUP(L183,[1]Upcoming!$A$5:$I$185,9,FALSE))</f>
        <v/>
      </c>
    </row>
    <row r="184" spans="11:30" ht="25.5" customHeight="1" thickBot="1" x14ac:dyDescent="0.3">
      <c r="K184" s="74" t="e">
        <f t="shared" ca="1" si="30"/>
        <v>#REF!</v>
      </c>
      <c r="L184" s="97" t="s">
        <v>275</v>
      </c>
      <c r="M184" s="86"/>
      <c r="N184" s="106" t="e">
        <f t="shared" ca="1" si="31"/>
        <v>#REF!</v>
      </c>
      <c r="O184" s="87" t="e">
        <f t="shared" ca="1" si="32"/>
        <v>#REF!</v>
      </c>
      <c r="P184" s="88" t="e">
        <f t="shared" ca="1" si="33"/>
        <v>#REF!</v>
      </c>
      <c r="Q184" s="89" t="e">
        <f ca="1">INDIRECT("'[summary.xls]"&amp;L184&amp;"'!$L$1")</f>
        <v>#REF!</v>
      </c>
      <c r="R184" s="112" t="e">
        <f t="shared" ca="1" si="34"/>
        <v>#REF!</v>
      </c>
      <c r="S184" s="81"/>
      <c r="T184" s="82" t="str">
        <f>VLOOKUP(L184,[1]Upcoming!$A$5:$I$185,2,FALSE)</f>
        <v/>
      </c>
      <c r="U184" s="83" t="str">
        <f>VLOOKUP(L184,[1]Upcoming!$A$5:$I$185,3,FALSE)</f>
        <v/>
      </c>
      <c r="V184" s="84"/>
      <c r="W184" s="82" t="e">
        <f>IF(ISBLANK(VLOOKUP(I184,[1]Upcoming!$A$5:$I$185,4,FALSE)),"",VLOOKUP(I184,[1]Upcoming!$A$5:$I$185,4,FALSE))</f>
        <v>#N/A</v>
      </c>
      <c r="X184" s="83" t="e">
        <f>IF(ISBLANK(VLOOKUP(I184,[1]Upcoming!$A$5:$I$185,5,FALSE)),"",VLOOKUP(I184,[1]Upcoming!$A$5:$I$185,5,FALSE))</f>
        <v>#N/A</v>
      </c>
      <c r="Y184" s="84"/>
      <c r="Z184" s="82" t="str">
        <f>IF(ISBLANK(VLOOKUP(L184,[1]Upcoming!$A$5:$I$185,6,FALSE)),"",VLOOKUP(L184,[1]Upcoming!$A$5:$I$185,6,FALSE))</f>
        <v/>
      </c>
      <c r="AA184" s="83" t="str">
        <f>IF(ISBLANK(VLOOKUP(L184,[1]Upcoming!$A$5:$I$185,7,FALSE)),"",VLOOKUP(L184,[1]Upcoming!$A$5:$I$185,7,FALSE))</f>
        <v/>
      </c>
      <c r="AB184" s="84"/>
      <c r="AC184" s="82" t="str">
        <f>IF(ISBLANK(VLOOKUP(L184,[1]Upcoming!$A$5:$I$185,8,FALSE)),"",VLOOKUP(L184,[1]Upcoming!$A$5:$I$185,8,FALSE))</f>
        <v/>
      </c>
      <c r="AD184" s="83" t="str">
        <f>IF(ISBLANK(VLOOKUP(L184,[1]Upcoming!$A$5:$I$185,9,FALSE)),"",VLOOKUP(L184,[1]Upcoming!$A$5:$I$185,9,FALSE))</f>
        <v/>
      </c>
    </row>
    <row r="185" spans="11:30" ht="25.5" customHeight="1" thickBot="1" x14ac:dyDescent="0.3">
      <c r="K185" s="74" t="e">
        <f t="shared" ca="1" si="30"/>
        <v>#REF!</v>
      </c>
      <c r="L185" s="97" t="s">
        <v>14</v>
      </c>
      <c r="M185" s="86"/>
      <c r="N185" s="106" t="e">
        <f t="shared" ca="1" si="31"/>
        <v>#REF!</v>
      </c>
      <c r="O185" s="87" t="e">
        <f t="shared" ca="1" si="32"/>
        <v>#REF!</v>
      </c>
      <c r="P185" s="88" t="e">
        <f t="shared" ca="1" si="33"/>
        <v>#REF!</v>
      </c>
      <c r="Q185" s="89" t="e">
        <f ca="1">INDIRECT("'[summary.xls]"&amp;L185&amp;"'!$L$1")</f>
        <v>#REF!</v>
      </c>
      <c r="R185" s="112" t="e">
        <f t="shared" ca="1" si="34"/>
        <v>#REF!</v>
      </c>
      <c r="S185" s="81"/>
      <c r="T185" s="82" t="str">
        <f>VLOOKUP(L185,[1]Upcoming!$A$5:$I$185,2,FALSE)</f>
        <v/>
      </c>
      <c r="U185" s="83" t="str">
        <f>VLOOKUP(L185,[1]Upcoming!$A$5:$I$185,3,FALSE)</f>
        <v/>
      </c>
      <c r="V185" s="84"/>
      <c r="W185" s="82" t="e">
        <f>IF(ISBLANK(VLOOKUP(I185,[1]Upcoming!$A$5:$I$185,4,FALSE)),"",VLOOKUP(I185,[1]Upcoming!$A$5:$I$185,4,FALSE))</f>
        <v>#N/A</v>
      </c>
      <c r="X185" s="83" t="e">
        <f>IF(ISBLANK(VLOOKUP(I185,[1]Upcoming!$A$5:$I$185,5,FALSE)),"",VLOOKUP(I185,[1]Upcoming!$A$5:$I$185,5,FALSE))</f>
        <v>#N/A</v>
      </c>
      <c r="Y185" s="84"/>
      <c r="Z185" s="82" t="str">
        <f>IF(ISBLANK(VLOOKUP(L185,[1]Upcoming!$A$5:$I$185,6,FALSE)),"",VLOOKUP(L185,[1]Upcoming!$A$5:$I$185,6,FALSE))</f>
        <v/>
      </c>
      <c r="AA185" s="83" t="str">
        <f>IF(ISBLANK(VLOOKUP(L185,[1]Upcoming!$A$5:$I$185,7,FALSE)),"",VLOOKUP(L185,[1]Upcoming!$A$5:$I$185,7,FALSE))</f>
        <v/>
      </c>
      <c r="AB185" s="84"/>
      <c r="AC185" s="82" t="str">
        <f>IF(ISBLANK(VLOOKUP(L185,[1]Upcoming!$A$5:$I$185,8,FALSE)),"",VLOOKUP(L185,[1]Upcoming!$A$5:$I$185,8,FALSE))</f>
        <v/>
      </c>
      <c r="AD185" s="83" t="str">
        <f>IF(ISBLANK(VLOOKUP(L185,[1]Upcoming!$A$5:$I$185,9,FALSE)),"",VLOOKUP(L185,[1]Upcoming!$A$5:$I$185,9,FALSE))</f>
        <v/>
      </c>
    </row>
    <row r="186" spans="11:30" ht="25.5" customHeight="1" thickBot="1" x14ac:dyDescent="0.3">
      <c r="K186" s="74" t="e">
        <f t="shared" ca="1" si="30"/>
        <v>#REF!</v>
      </c>
      <c r="L186" s="97" t="s">
        <v>262</v>
      </c>
      <c r="M186" s="86"/>
      <c r="N186" s="106" t="e">
        <f t="shared" ca="1" si="31"/>
        <v>#REF!</v>
      </c>
      <c r="O186" s="87" t="e">
        <f t="shared" ca="1" si="32"/>
        <v>#REF!</v>
      </c>
      <c r="P186" s="88" t="e">
        <f t="shared" ca="1" si="33"/>
        <v>#REF!</v>
      </c>
      <c r="Q186" s="89">
        <v>0</v>
      </c>
      <c r="R186" s="104" t="e">
        <f t="shared" ca="1" si="34"/>
        <v>#REF!</v>
      </c>
      <c r="S186" s="81"/>
      <c r="T186" s="82" t="str">
        <f>VLOOKUP(L186,[1]Upcoming!$A$5:$I$185,2,FALSE)</f>
        <v/>
      </c>
      <c r="U186" s="83" t="str">
        <f>VLOOKUP(L186,[1]Upcoming!$A$5:$I$185,3,FALSE)</f>
        <v/>
      </c>
      <c r="V186" s="84"/>
      <c r="W186" s="82" t="e">
        <f>IF(ISBLANK(VLOOKUP(I186,[1]Upcoming!$A$5:$I$185,4,FALSE)),"",VLOOKUP(I186,[1]Upcoming!$A$5:$I$185,4,FALSE))</f>
        <v>#N/A</v>
      </c>
      <c r="X186" s="83" t="e">
        <f>IF(ISBLANK(VLOOKUP(I186,[1]Upcoming!$A$5:$I$185,5,FALSE)),"",VLOOKUP(I186,[1]Upcoming!$A$5:$I$185,5,FALSE))</f>
        <v>#N/A</v>
      </c>
      <c r="Y186" s="84"/>
      <c r="Z186" s="82" t="str">
        <f>IF(ISBLANK(VLOOKUP(L186,[1]Upcoming!$A$5:$I$185,6,FALSE)),"",VLOOKUP(L186,[1]Upcoming!$A$5:$I$185,6,FALSE))</f>
        <v/>
      </c>
      <c r="AA186" s="83" t="str">
        <f>IF(ISBLANK(VLOOKUP(L186,[1]Upcoming!$A$5:$I$185,7,FALSE)),"",VLOOKUP(L186,[1]Upcoming!$A$5:$I$185,7,FALSE))</f>
        <v/>
      </c>
      <c r="AB186" s="84"/>
      <c r="AC186" s="82" t="str">
        <f>IF(ISBLANK(VLOOKUP(L186,[1]Upcoming!$A$5:$I$185,8,FALSE)),"",VLOOKUP(L186,[1]Upcoming!$A$5:$I$185,8,FALSE))</f>
        <v/>
      </c>
      <c r="AD186" s="83" t="str">
        <f>IF(ISBLANK(VLOOKUP(L186,[1]Upcoming!$A$5:$I$185,9,FALSE)),"",VLOOKUP(L186,[1]Upcoming!$A$5:$I$185,9,FALSE))</f>
        <v/>
      </c>
    </row>
    <row r="187" spans="11:30" ht="25.5" customHeight="1" thickBot="1" x14ac:dyDescent="0.3">
      <c r="K187" s="74" t="e">
        <f t="shared" ca="1" si="30"/>
        <v>#REF!</v>
      </c>
      <c r="L187" s="97" t="s">
        <v>326</v>
      </c>
      <c r="M187" s="86"/>
      <c r="N187" s="106" t="e">
        <f t="shared" ca="1" si="31"/>
        <v>#REF!</v>
      </c>
      <c r="O187" s="87" t="e">
        <f t="shared" ca="1" si="32"/>
        <v>#REF!</v>
      </c>
      <c r="P187" s="88" t="e">
        <f t="shared" ca="1" si="33"/>
        <v>#REF!</v>
      </c>
      <c r="Q187" s="89" t="e">
        <f t="shared" ref="Q187:Q193" ca="1" si="35">INDIRECT("'[summary.xls]"&amp;L187&amp;"'!$L$1")</f>
        <v>#REF!</v>
      </c>
      <c r="R187" s="104" t="e">
        <f t="shared" ca="1" si="34"/>
        <v>#REF!</v>
      </c>
      <c r="S187" s="81"/>
      <c r="T187" s="82" t="str">
        <f>VLOOKUP(L187,[1]Upcoming!$A$5:$I$185,2,FALSE)</f>
        <v/>
      </c>
      <c r="U187" s="83" t="str">
        <f>VLOOKUP(L187,[1]Upcoming!$A$5:$I$185,3,FALSE)</f>
        <v/>
      </c>
      <c r="V187" s="84"/>
      <c r="W187" s="82" t="e">
        <f>IF(ISBLANK(VLOOKUP(I187,[1]Upcoming!$A$5:$I$185,4,FALSE)),"",VLOOKUP(I187,[1]Upcoming!$A$5:$I$185,4,FALSE))</f>
        <v>#N/A</v>
      </c>
      <c r="X187" s="83" t="e">
        <f>IF(ISBLANK(VLOOKUP(I187,[1]Upcoming!$A$5:$I$185,5,FALSE)),"",VLOOKUP(I187,[1]Upcoming!$A$5:$I$185,5,FALSE))</f>
        <v>#N/A</v>
      </c>
      <c r="Y187" s="84"/>
      <c r="Z187" s="82" t="str">
        <f>IF(ISBLANK(VLOOKUP(L187,[1]Upcoming!$A$5:$I$185,6,FALSE)),"",VLOOKUP(L187,[1]Upcoming!$A$5:$I$185,6,FALSE))</f>
        <v/>
      </c>
      <c r="AA187" s="83" t="str">
        <f>IF(ISBLANK(VLOOKUP(L187,[1]Upcoming!$A$5:$I$185,7,FALSE)),"",VLOOKUP(L187,[1]Upcoming!$A$5:$I$185,7,FALSE))</f>
        <v/>
      </c>
      <c r="AB187" s="84"/>
      <c r="AC187" s="82" t="str">
        <f>IF(ISBLANK(VLOOKUP(L187,[1]Upcoming!$A$5:$I$185,8,FALSE)),"",VLOOKUP(L187,[1]Upcoming!$A$5:$I$185,8,FALSE))</f>
        <v/>
      </c>
      <c r="AD187" s="83" t="str">
        <f>IF(ISBLANK(VLOOKUP(L187,[1]Upcoming!$A$5:$I$185,9,FALSE)),"",VLOOKUP(L187,[1]Upcoming!$A$5:$I$185,9,FALSE))</f>
        <v/>
      </c>
    </row>
    <row r="188" spans="11:30" ht="25.5" customHeight="1" thickBot="1" x14ac:dyDescent="0.3">
      <c r="K188" s="74" t="e">
        <f t="shared" ca="1" si="30"/>
        <v>#REF!</v>
      </c>
      <c r="L188" s="97" t="s">
        <v>313</v>
      </c>
      <c r="M188" s="86"/>
      <c r="N188" s="106" t="e">
        <f t="shared" ca="1" si="31"/>
        <v>#REF!</v>
      </c>
      <c r="O188" s="87" t="e">
        <f t="shared" ca="1" si="32"/>
        <v>#REF!</v>
      </c>
      <c r="P188" s="88" t="e">
        <f t="shared" ca="1" si="33"/>
        <v>#REF!</v>
      </c>
      <c r="Q188" s="89" t="e">
        <f t="shared" ca="1" si="35"/>
        <v>#REF!</v>
      </c>
      <c r="R188" s="112" t="e">
        <f t="shared" ca="1" si="34"/>
        <v>#REF!</v>
      </c>
      <c r="S188" s="81"/>
      <c r="T188" s="82" t="str">
        <f>VLOOKUP(L188,[1]Upcoming!$A$5:$I$185,2,FALSE)</f>
        <v/>
      </c>
      <c r="U188" s="83" t="str">
        <f>VLOOKUP(L188,[1]Upcoming!$A$5:$I$185,3,FALSE)</f>
        <v/>
      </c>
      <c r="V188" s="84"/>
      <c r="W188" s="82" t="e">
        <f>IF(ISBLANK(VLOOKUP(I188,[1]Upcoming!$A$5:$I$185,4,FALSE)),"",VLOOKUP(I188,[1]Upcoming!$A$5:$I$185,4,FALSE))</f>
        <v>#N/A</v>
      </c>
      <c r="X188" s="83" t="e">
        <f>IF(ISBLANK(VLOOKUP(I188,[1]Upcoming!$A$5:$I$185,5,FALSE)),"",VLOOKUP(I188,[1]Upcoming!$A$5:$I$185,5,FALSE))</f>
        <v>#N/A</v>
      </c>
      <c r="Y188" s="84"/>
      <c r="Z188" s="82" t="str">
        <f>IF(ISBLANK(VLOOKUP(L188,[1]Upcoming!$A$5:$I$185,6,FALSE)),"",VLOOKUP(L188,[1]Upcoming!$A$5:$I$185,6,FALSE))</f>
        <v/>
      </c>
      <c r="AA188" s="83" t="str">
        <f>IF(ISBLANK(VLOOKUP(L188,[1]Upcoming!$A$5:$I$185,7,FALSE)),"",VLOOKUP(L188,[1]Upcoming!$A$5:$I$185,7,FALSE))</f>
        <v/>
      </c>
      <c r="AB188" s="84"/>
      <c r="AC188" s="82" t="str">
        <f>IF(ISBLANK(VLOOKUP(L188,[1]Upcoming!$A$5:$I$185,8,FALSE)),"",VLOOKUP(L188,[1]Upcoming!$A$5:$I$185,8,FALSE))</f>
        <v/>
      </c>
      <c r="AD188" s="83" t="str">
        <f>IF(ISBLANK(VLOOKUP(L188,[1]Upcoming!$A$5:$I$185,9,FALSE)),"",VLOOKUP(L188,[1]Upcoming!$A$5:$I$185,9,FALSE))</f>
        <v/>
      </c>
    </row>
    <row r="189" spans="11:30" ht="25.5" customHeight="1" thickBot="1" x14ac:dyDescent="0.3">
      <c r="K189" s="74" t="e">
        <f t="shared" ca="1" si="30"/>
        <v>#REF!</v>
      </c>
      <c r="L189" s="97" t="s">
        <v>273</v>
      </c>
      <c r="M189" s="86"/>
      <c r="N189" s="106" t="e">
        <f t="shared" ca="1" si="31"/>
        <v>#REF!</v>
      </c>
      <c r="O189" s="87" t="e">
        <f t="shared" ca="1" si="32"/>
        <v>#REF!</v>
      </c>
      <c r="P189" s="88" t="e">
        <f t="shared" ca="1" si="33"/>
        <v>#REF!</v>
      </c>
      <c r="Q189" s="89" t="e">
        <f t="shared" ca="1" si="35"/>
        <v>#REF!</v>
      </c>
      <c r="R189" s="112" t="e">
        <f t="shared" ca="1" si="34"/>
        <v>#REF!</v>
      </c>
      <c r="S189" s="81"/>
      <c r="T189" s="82" t="str">
        <f>VLOOKUP(L189,[1]Upcoming!$A$5:$I$185,2,FALSE)</f>
        <v/>
      </c>
      <c r="U189" s="83" t="str">
        <f>VLOOKUP(L189,[1]Upcoming!$A$5:$I$185,3,FALSE)</f>
        <v/>
      </c>
      <c r="V189" s="84"/>
      <c r="W189" s="82" t="e">
        <f>IF(ISBLANK(VLOOKUP(I189,[1]Upcoming!$A$5:$I$185,4,FALSE)),"",VLOOKUP(I189,[1]Upcoming!$A$5:$I$185,4,FALSE))</f>
        <v>#N/A</v>
      </c>
      <c r="X189" s="83" t="e">
        <f>IF(ISBLANK(VLOOKUP(I189,[1]Upcoming!$A$5:$I$185,5,FALSE)),"",VLOOKUP(I189,[1]Upcoming!$A$5:$I$185,5,FALSE))</f>
        <v>#N/A</v>
      </c>
      <c r="Y189" s="84"/>
      <c r="Z189" s="82" t="str">
        <f>IF(ISBLANK(VLOOKUP(L189,[1]Upcoming!$A$5:$I$185,6,FALSE)),"",VLOOKUP(L189,[1]Upcoming!$A$5:$I$185,6,FALSE))</f>
        <v/>
      </c>
      <c r="AA189" s="83" t="str">
        <f>IF(ISBLANK(VLOOKUP(L189,[1]Upcoming!$A$5:$I$185,7,FALSE)),"",VLOOKUP(L189,[1]Upcoming!$A$5:$I$185,7,FALSE))</f>
        <v/>
      </c>
      <c r="AB189" s="84"/>
      <c r="AC189" s="82" t="str">
        <f>IF(ISBLANK(VLOOKUP(L189,[1]Upcoming!$A$5:$I$185,8,FALSE)),"",VLOOKUP(L189,[1]Upcoming!$A$5:$I$185,8,FALSE))</f>
        <v/>
      </c>
      <c r="AD189" s="83" t="str">
        <f>IF(ISBLANK(VLOOKUP(L189,[1]Upcoming!$A$5:$I$185,9,FALSE)),"",VLOOKUP(L189,[1]Upcoming!$A$5:$I$185,9,FALSE))</f>
        <v/>
      </c>
    </row>
    <row r="190" spans="11:30" ht="25.5" customHeight="1" thickBot="1" x14ac:dyDescent="0.3">
      <c r="K190" s="74" t="e">
        <f t="shared" ca="1" si="30"/>
        <v>#REF!</v>
      </c>
      <c r="L190" s="97" t="s">
        <v>353</v>
      </c>
      <c r="M190" s="86"/>
      <c r="N190" s="106" t="e">
        <f t="shared" ca="1" si="31"/>
        <v>#REF!</v>
      </c>
      <c r="O190" s="87" t="e">
        <f t="shared" ca="1" si="32"/>
        <v>#REF!</v>
      </c>
      <c r="P190" s="88" t="e">
        <f t="shared" ca="1" si="33"/>
        <v>#REF!</v>
      </c>
      <c r="Q190" s="89" t="e">
        <f t="shared" ca="1" si="35"/>
        <v>#REF!</v>
      </c>
      <c r="R190" s="112" t="e">
        <f t="shared" ca="1" si="34"/>
        <v>#REF!</v>
      </c>
      <c r="S190" s="81"/>
      <c r="T190" s="82" t="str">
        <f>VLOOKUP(L190,[1]Upcoming!$A$5:$I$185,2,FALSE)</f>
        <v/>
      </c>
      <c r="U190" s="83" t="str">
        <f>VLOOKUP(L190,[1]Upcoming!$A$5:$I$185,3,FALSE)</f>
        <v/>
      </c>
      <c r="V190" s="84"/>
      <c r="W190" s="82" t="e">
        <f>IF(ISBLANK(VLOOKUP(I190,[1]Upcoming!$A$5:$I$185,4,FALSE)),"",VLOOKUP(I190,[1]Upcoming!$A$5:$I$185,4,FALSE))</f>
        <v>#N/A</v>
      </c>
      <c r="X190" s="83" t="e">
        <f>IF(ISBLANK(VLOOKUP(I190,[1]Upcoming!$A$5:$I$185,5,FALSE)),"",VLOOKUP(I190,[1]Upcoming!$A$5:$I$185,5,FALSE))</f>
        <v>#N/A</v>
      </c>
      <c r="Y190" s="84"/>
      <c r="Z190" s="82" t="str">
        <f>IF(ISBLANK(VLOOKUP(L190,[1]Upcoming!$A$5:$I$185,6,FALSE)),"",VLOOKUP(L190,[1]Upcoming!$A$5:$I$185,6,FALSE))</f>
        <v/>
      </c>
      <c r="AA190" s="83" t="str">
        <f>IF(ISBLANK(VLOOKUP(L190,[1]Upcoming!$A$5:$I$185,7,FALSE)),"",VLOOKUP(L190,[1]Upcoming!$A$5:$I$185,7,FALSE))</f>
        <v/>
      </c>
      <c r="AB190" s="84"/>
      <c r="AC190" s="82" t="str">
        <f>IF(ISBLANK(VLOOKUP(L190,[1]Upcoming!$A$5:$I$185,8,FALSE)),"",VLOOKUP(L190,[1]Upcoming!$A$5:$I$185,8,FALSE))</f>
        <v/>
      </c>
      <c r="AD190" s="83" t="str">
        <f>IF(ISBLANK(VLOOKUP(L190,[1]Upcoming!$A$5:$I$185,9,FALSE)),"",VLOOKUP(L190,[1]Upcoming!$A$5:$I$185,9,FALSE))</f>
        <v/>
      </c>
    </row>
    <row r="191" spans="11:30" ht="25.5" customHeight="1" thickBot="1" x14ac:dyDescent="0.3">
      <c r="K191" s="74" t="e">
        <f t="shared" ca="1" si="30"/>
        <v>#REF!</v>
      </c>
      <c r="L191" s="97" t="s">
        <v>302</v>
      </c>
      <c r="M191" s="86"/>
      <c r="N191" s="106" t="e">
        <f t="shared" ca="1" si="31"/>
        <v>#REF!</v>
      </c>
      <c r="O191" s="87" t="e">
        <f t="shared" ca="1" si="32"/>
        <v>#REF!</v>
      </c>
      <c r="P191" s="88" t="e">
        <f t="shared" ca="1" si="33"/>
        <v>#REF!</v>
      </c>
      <c r="Q191" s="89" t="e">
        <f t="shared" ca="1" si="35"/>
        <v>#REF!</v>
      </c>
      <c r="R191" s="104" t="e">
        <f t="shared" ca="1" si="34"/>
        <v>#REF!</v>
      </c>
      <c r="S191" s="81"/>
      <c r="T191" s="82" t="str">
        <f>VLOOKUP(L191,[1]Upcoming!$A$5:$I$185,2,FALSE)</f>
        <v/>
      </c>
      <c r="U191" s="83" t="str">
        <f>VLOOKUP(L191,[1]Upcoming!$A$5:$I$185,3,FALSE)</f>
        <v/>
      </c>
      <c r="V191" s="84"/>
      <c r="W191" s="82" t="e">
        <f>IF(ISBLANK(VLOOKUP(I191,[1]Upcoming!$A$5:$I$185,4,FALSE)),"",VLOOKUP(I191,[1]Upcoming!$A$5:$I$185,4,FALSE))</f>
        <v>#N/A</v>
      </c>
      <c r="X191" s="83" t="e">
        <f>IF(ISBLANK(VLOOKUP(I191,[1]Upcoming!$A$5:$I$185,5,FALSE)),"",VLOOKUP(I191,[1]Upcoming!$A$5:$I$185,5,FALSE))</f>
        <v>#N/A</v>
      </c>
      <c r="Y191" s="84"/>
      <c r="Z191" s="82" t="str">
        <f>IF(ISBLANK(VLOOKUP(L191,[1]Upcoming!$A$5:$I$185,6,FALSE)),"",VLOOKUP(L191,[1]Upcoming!$A$5:$I$185,6,FALSE))</f>
        <v/>
      </c>
      <c r="AA191" s="83" t="str">
        <f>IF(ISBLANK(VLOOKUP(L191,[1]Upcoming!$A$5:$I$185,7,FALSE)),"",VLOOKUP(L191,[1]Upcoming!$A$5:$I$185,7,FALSE))</f>
        <v/>
      </c>
      <c r="AB191" s="84"/>
      <c r="AC191" s="82" t="str">
        <f>IF(ISBLANK(VLOOKUP(L191,[1]Upcoming!$A$5:$I$185,8,FALSE)),"",VLOOKUP(L191,[1]Upcoming!$A$5:$I$185,8,FALSE))</f>
        <v/>
      </c>
      <c r="AD191" s="83" t="str">
        <f>IF(ISBLANK(VLOOKUP(L191,[1]Upcoming!$A$5:$I$185,9,FALSE)),"",VLOOKUP(L191,[1]Upcoming!$A$5:$I$185,9,FALSE))</f>
        <v/>
      </c>
    </row>
    <row r="192" spans="11:30" ht="25.5" customHeight="1" thickBot="1" x14ac:dyDescent="0.3">
      <c r="K192" s="74" t="e">
        <f t="shared" ca="1" si="30"/>
        <v>#REF!</v>
      </c>
      <c r="L192" s="97" t="s">
        <v>327</v>
      </c>
      <c r="M192" s="86"/>
      <c r="N192" s="106" t="e">
        <f t="shared" ca="1" si="31"/>
        <v>#REF!</v>
      </c>
      <c r="O192" s="87" t="e">
        <f t="shared" ca="1" si="32"/>
        <v>#REF!</v>
      </c>
      <c r="P192" s="88" t="e">
        <f t="shared" ca="1" si="33"/>
        <v>#REF!</v>
      </c>
      <c r="Q192" s="89" t="e">
        <f t="shared" ca="1" si="35"/>
        <v>#REF!</v>
      </c>
      <c r="R192" s="104" t="e">
        <f t="shared" ca="1" si="34"/>
        <v>#REF!</v>
      </c>
      <c r="S192" s="81"/>
      <c r="T192" s="82" t="str">
        <f>VLOOKUP(L192,[1]Upcoming!$A$5:$I$185,2,FALSE)</f>
        <v/>
      </c>
      <c r="U192" s="83" t="str">
        <f>VLOOKUP(L192,[1]Upcoming!$A$5:$I$185,3,FALSE)</f>
        <v/>
      </c>
      <c r="V192" s="84"/>
      <c r="W192" s="82" t="e">
        <f>IF(ISBLANK(VLOOKUP(I192,[1]Upcoming!$A$5:$I$185,4,FALSE)),"",VLOOKUP(I192,[1]Upcoming!$A$5:$I$185,4,FALSE))</f>
        <v>#N/A</v>
      </c>
      <c r="X192" s="83" t="e">
        <f>IF(ISBLANK(VLOOKUP(I192,[1]Upcoming!$A$5:$I$185,5,FALSE)),"",VLOOKUP(I192,[1]Upcoming!$A$5:$I$185,5,FALSE))</f>
        <v>#N/A</v>
      </c>
      <c r="Y192" s="84"/>
      <c r="Z192" s="82" t="str">
        <f>IF(ISBLANK(VLOOKUP(L192,[1]Upcoming!$A$5:$I$185,6,FALSE)),"",VLOOKUP(L192,[1]Upcoming!$A$5:$I$185,6,FALSE))</f>
        <v/>
      </c>
      <c r="AA192" s="83" t="str">
        <f>IF(ISBLANK(VLOOKUP(L192,[1]Upcoming!$A$5:$I$185,7,FALSE)),"",VLOOKUP(L192,[1]Upcoming!$A$5:$I$185,7,FALSE))</f>
        <v/>
      </c>
      <c r="AB192" s="84"/>
      <c r="AC192" s="82" t="str">
        <f>IF(ISBLANK(VLOOKUP(L192,[1]Upcoming!$A$5:$I$185,8,FALSE)),"",VLOOKUP(L192,[1]Upcoming!$A$5:$I$185,8,FALSE))</f>
        <v/>
      </c>
      <c r="AD192" s="83" t="str">
        <f>IF(ISBLANK(VLOOKUP(L192,[1]Upcoming!$A$5:$I$185,9,FALSE)),"",VLOOKUP(L192,[1]Upcoming!$A$5:$I$185,9,FALSE))</f>
        <v/>
      </c>
    </row>
    <row r="193" spans="11:30" ht="25.5" customHeight="1" thickBot="1" x14ac:dyDescent="0.3">
      <c r="K193" s="74" t="e">
        <f t="shared" ca="1" si="30"/>
        <v>#REF!</v>
      </c>
      <c r="L193" s="97" t="s">
        <v>34</v>
      </c>
      <c r="M193" s="86"/>
      <c r="N193" s="106" t="e">
        <f t="shared" ca="1" si="31"/>
        <v>#REF!</v>
      </c>
      <c r="O193" s="87" t="e">
        <f t="shared" ca="1" si="32"/>
        <v>#REF!</v>
      </c>
      <c r="P193" s="88" t="e">
        <f t="shared" ca="1" si="33"/>
        <v>#REF!</v>
      </c>
      <c r="Q193" s="89" t="e">
        <f t="shared" ca="1" si="35"/>
        <v>#REF!</v>
      </c>
      <c r="R193" s="104" t="e">
        <f t="shared" ca="1" si="34"/>
        <v>#REF!</v>
      </c>
      <c r="S193" s="81"/>
      <c r="T193" s="82" t="str">
        <f>VLOOKUP(L193,[1]Upcoming!$A$5:$I$185,2,FALSE)</f>
        <v/>
      </c>
      <c r="U193" s="83" t="str">
        <f>VLOOKUP(L193,[1]Upcoming!$A$5:$I$185,3,FALSE)</f>
        <v/>
      </c>
      <c r="V193" s="84"/>
      <c r="W193" s="82" t="e">
        <f>IF(ISBLANK(VLOOKUP(I193,[1]Upcoming!$A$5:$I$185,4,FALSE)),"",VLOOKUP(I193,[1]Upcoming!$A$5:$I$185,4,FALSE))</f>
        <v>#N/A</v>
      </c>
      <c r="X193" s="83" t="e">
        <f>IF(ISBLANK(VLOOKUP(I193,[1]Upcoming!$A$5:$I$185,5,FALSE)),"",VLOOKUP(I193,[1]Upcoming!$A$5:$I$185,5,FALSE))</f>
        <v>#N/A</v>
      </c>
      <c r="Y193" s="84"/>
      <c r="Z193" s="82" t="str">
        <f>IF(ISBLANK(VLOOKUP(L193,[1]Upcoming!$A$5:$I$185,6,FALSE)),"",VLOOKUP(L193,[1]Upcoming!$A$5:$I$185,6,FALSE))</f>
        <v/>
      </c>
      <c r="AA193" s="83" t="str">
        <f>IF(ISBLANK(VLOOKUP(L193,[1]Upcoming!$A$5:$I$185,7,FALSE)),"",VLOOKUP(L193,[1]Upcoming!$A$5:$I$185,7,FALSE))</f>
        <v/>
      </c>
      <c r="AB193" s="84"/>
      <c r="AC193" s="82" t="str">
        <f>IF(ISBLANK(VLOOKUP(L193,[1]Upcoming!$A$5:$I$185,8,FALSE)),"",VLOOKUP(L193,[1]Upcoming!$A$5:$I$185,8,FALSE))</f>
        <v/>
      </c>
      <c r="AD193" s="83" t="str">
        <f>IF(ISBLANK(VLOOKUP(L193,[1]Upcoming!$A$5:$I$185,9,FALSE)),"",VLOOKUP(L193,[1]Upcoming!$A$5:$I$185,9,FALSE))</f>
        <v/>
      </c>
    </row>
    <row r="194" spans="11:30" ht="25.5" customHeight="1" thickBot="1" x14ac:dyDescent="0.3">
      <c r="K194" s="74" t="e">
        <f t="shared" ca="1" si="30"/>
        <v>#REF!</v>
      </c>
      <c r="L194" s="97" t="s">
        <v>363</v>
      </c>
      <c r="M194" s="86"/>
      <c r="N194" s="106" t="e">
        <f t="shared" ca="1" si="31"/>
        <v>#REF!</v>
      </c>
      <c r="O194" s="87" t="e">
        <f t="shared" ca="1" si="32"/>
        <v>#REF!</v>
      </c>
      <c r="P194" s="88" t="e">
        <f t="shared" ca="1" si="33"/>
        <v>#REF!</v>
      </c>
      <c r="Q194" s="89">
        <v>0</v>
      </c>
      <c r="R194" s="112" t="e">
        <f t="shared" ca="1" si="34"/>
        <v>#REF!</v>
      </c>
      <c r="S194" s="81"/>
      <c r="T194" s="82" t="str">
        <f>VLOOKUP(L194,[1]Upcoming!$A$5:$I$185,2,FALSE)</f>
        <v/>
      </c>
      <c r="U194" s="83" t="str">
        <f>VLOOKUP(L194,[1]Upcoming!$A$5:$I$185,3,FALSE)</f>
        <v/>
      </c>
      <c r="V194" s="84"/>
      <c r="W194" s="82" t="e">
        <f>IF(ISBLANK(VLOOKUP(I194,[1]Upcoming!$A$5:$I$185,4,FALSE)),"",VLOOKUP(I194,[1]Upcoming!$A$5:$I$185,4,FALSE))</f>
        <v>#N/A</v>
      </c>
      <c r="X194" s="83" t="e">
        <f>IF(ISBLANK(VLOOKUP(I194,[1]Upcoming!$A$5:$I$185,5,FALSE)),"",VLOOKUP(I194,[1]Upcoming!$A$5:$I$185,5,FALSE))</f>
        <v>#N/A</v>
      </c>
      <c r="Y194" s="84"/>
      <c r="Z194" s="82" t="str">
        <f>IF(ISBLANK(VLOOKUP(L194,[1]Upcoming!$A$5:$I$185,6,FALSE)),"",VLOOKUP(L194,[1]Upcoming!$A$5:$I$185,6,FALSE))</f>
        <v/>
      </c>
      <c r="AA194" s="83" t="str">
        <f>IF(ISBLANK(VLOOKUP(L194,[1]Upcoming!$A$5:$I$185,7,FALSE)),"",VLOOKUP(L194,[1]Upcoming!$A$5:$I$185,7,FALSE))</f>
        <v/>
      </c>
      <c r="AB194" s="84"/>
      <c r="AC194" s="82" t="str">
        <f>IF(ISBLANK(VLOOKUP(L194,[1]Upcoming!$A$5:$I$185,8,FALSE)),"",VLOOKUP(L194,[1]Upcoming!$A$5:$I$185,8,FALSE))</f>
        <v/>
      </c>
      <c r="AD194" s="83" t="str">
        <f>IF(ISBLANK(VLOOKUP(L194,[1]Upcoming!$A$5:$I$185,9,FALSE)),"",VLOOKUP(L194,[1]Upcoming!$A$5:$I$185,9,FALSE))</f>
        <v/>
      </c>
    </row>
    <row r="195" spans="11:30" ht="25.5" customHeight="1" thickBot="1" x14ac:dyDescent="0.3">
      <c r="K195" s="74" t="e">
        <f t="shared" ca="1" si="30"/>
        <v>#REF!</v>
      </c>
      <c r="L195" s="97" t="s">
        <v>16</v>
      </c>
      <c r="M195" s="86"/>
      <c r="N195" s="106" t="e">
        <f t="shared" ca="1" si="31"/>
        <v>#REF!</v>
      </c>
      <c r="O195" s="87" t="e">
        <f t="shared" ca="1" si="32"/>
        <v>#REF!</v>
      </c>
      <c r="P195" s="88" t="e">
        <f t="shared" ca="1" si="33"/>
        <v>#REF!</v>
      </c>
      <c r="Q195" s="89" t="e">
        <f ca="1">INDIRECT("'[summary.xls]"&amp;L195&amp;"'!$L$1")</f>
        <v>#REF!</v>
      </c>
      <c r="R195" s="112" t="e">
        <f t="shared" ca="1" si="34"/>
        <v>#REF!</v>
      </c>
      <c r="S195" s="81"/>
      <c r="T195" s="82" t="str">
        <f>VLOOKUP(L195,[1]Upcoming!$A$5:$I$185,2,FALSE)</f>
        <v/>
      </c>
      <c r="U195" s="83" t="str">
        <f>VLOOKUP(L195,[1]Upcoming!$A$5:$I$185,3,FALSE)</f>
        <v/>
      </c>
      <c r="V195" s="84"/>
      <c r="W195" s="82" t="e">
        <f>IF(ISBLANK(VLOOKUP(I195,[1]Upcoming!$A$5:$I$185,4,FALSE)),"",VLOOKUP(I195,[1]Upcoming!$A$5:$I$185,4,FALSE))</f>
        <v>#N/A</v>
      </c>
      <c r="X195" s="83" t="e">
        <f>IF(ISBLANK(VLOOKUP(I195,[1]Upcoming!$A$5:$I$185,5,FALSE)),"",VLOOKUP(I195,[1]Upcoming!$A$5:$I$185,5,FALSE))</f>
        <v>#N/A</v>
      </c>
      <c r="Y195" s="84"/>
      <c r="Z195" s="82" t="str">
        <f>IF(ISBLANK(VLOOKUP(L195,[1]Upcoming!$A$5:$I$185,6,FALSE)),"",VLOOKUP(L195,[1]Upcoming!$A$5:$I$185,6,FALSE))</f>
        <v/>
      </c>
      <c r="AA195" s="83" t="str">
        <f>IF(ISBLANK(VLOOKUP(L195,[1]Upcoming!$A$5:$I$185,7,FALSE)),"",VLOOKUP(L195,[1]Upcoming!$A$5:$I$185,7,FALSE))</f>
        <v/>
      </c>
      <c r="AB195" s="84"/>
      <c r="AC195" s="82" t="str">
        <f>IF(ISBLANK(VLOOKUP(L195,[1]Upcoming!$A$5:$I$185,8,FALSE)),"",VLOOKUP(L195,[1]Upcoming!$A$5:$I$185,8,FALSE))</f>
        <v/>
      </c>
      <c r="AD195" s="83" t="str">
        <f>IF(ISBLANK(VLOOKUP(L195,[1]Upcoming!$A$5:$I$185,9,FALSE)),"",VLOOKUP(L195,[1]Upcoming!$A$5:$I$185,9,FALSE))</f>
        <v/>
      </c>
    </row>
    <row r="196" spans="11:30" ht="25.5" customHeight="1" thickBot="1" x14ac:dyDescent="0.3">
      <c r="K196" s="74" t="e">
        <f t="shared" ca="1" si="30"/>
        <v>#REF!</v>
      </c>
      <c r="L196" s="97" t="s">
        <v>250</v>
      </c>
      <c r="M196" s="86"/>
      <c r="N196" s="106" t="e">
        <f t="shared" ca="1" si="31"/>
        <v>#REF!</v>
      </c>
      <c r="O196" s="87" t="e">
        <f t="shared" ca="1" si="32"/>
        <v>#REF!</v>
      </c>
      <c r="P196" s="88" t="e">
        <f t="shared" ca="1" si="33"/>
        <v>#REF!</v>
      </c>
      <c r="Q196" s="89">
        <v>0</v>
      </c>
      <c r="R196" s="112" t="e">
        <f t="shared" ca="1" si="34"/>
        <v>#REF!</v>
      </c>
      <c r="S196" s="81"/>
      <c r="T196" s="82" t="str">
        <f>VLOOKUP(L196,[1]Upcoming!$A$5:$I$185,2,FALSE)</f>
        <v/>
      </c>
      <c r="U196" s="83" t="str">
        <f>VLOOKUP(L196,[1]Upcoming!$A$5:$I$185,3,FALSE)</f>
        <v/>
      </c>
      <c r="V196" s="84"/>
      <c r="W196" s="82" t="e">
        <f>IF(ISBLANK(VLOOKUP(I196,[1]Upcoming!$A$5:$I$185,4,FALSE)),"",VLOOKUP(I196,[1]Upcoming!$A$5:$I$185,4,FALSE))</f>
        <v>#N/A</v>
      </c>
      <c r="X196" s="83" t="e">
        <f>IF(ISBLANK(VLOOKUP(I196,[1]Upcoming!$A$5:$I$185,5,FALSE)),"",VLOOKUP(I196,[1]Upcoming!$A$5:$I$185,5,FALSE))</f>
        <v>#N/A</v>
      </c>
      <c r="Y196" s="84"/>
      <c r="Z196" s="82" t="str">
        <f>IF(ISBLANK(VLOOKUP(L196,[1]Upcoming!$A$5:$I$185,6,FALSE)),"",VLOOKUP(L196,[1]Upcoming!$A$5:$I$185,6,FALSE))</f>
        <v/>
      </c>
      <c r="AA196" s="83" t="str">
        <f>IF(ISBLANK(VLOOKUP(L196,[1]Upcoming!$A$5:$I$185,7,FALSE)),"",VLOOKUP(L196,[1]Upcoming!$A$5:$I$185,7,FALSE))</f>
        <v/>
      </c>
      <c r="AB196" s="84"/>
      <c r="AC196" s="82" t="str">
        <f>IF(ISBLANK(VLOOKUP(L196,[1]Upcoming!$A$5:$I$185,8,FALSE)),"",VLOOKUP(L196,[1]Upcoming!$A$5:$I$185,8,FALSE))</f>
        <v/>
      </c>
      <c r="AD196" s="83" t="str">
        <f>IF(ISBLANK(VLOOKUP(L196,[1]Upcoming!$A$5:$I$185,9,FALSE)),"",VLOOKUP(L196,[1]Upcoming!$A$5:$I$185,9,FALSE))</f>
        <v/>
      </c>
    </row>
    <row r="197" spans="11:30" ht="25.5" customHeight="1" thickBot="1" x14ac:dyDescent="0.3">
      <c r="K197" s="74" t="e">
        <f t="shared" ca="1" si="30"/>
        <v>#REF!</v>
      </c>
      <c r="L197" s="97" t="s">
        <v>292</v>
      </c>
      <c r="M197" s="86"/>
      <c r="N197" s="106" t="e">
        <f t="shared" ca="1" si="31"/>
        <v>#REF!</v>
      </c>
      <c r="O197" s="87" t="e">
        <f t="shared" ca="1" si="32"/>
        <v>#REF!</v>
      </c>
      <c r="P197" s="88" t="e">
        <f t="shared" ca="1" si="33"/>
        <v>#REF!</v>
      </c>
      <c r="Q197" s="89" t="e">
        <f ca="1">INDIRECT("'[summary.xls]"&amp;L197&amp;"'!$L$1")</f>
        <v>#REF!</v>
      </c>
      <c r="R197" s="104" t="e">
        <f t="shared" ca="1" si="34"/>
        <v>#REF!</v>
      </c>
      <c r="S197" s="81"/>
      <c r="T197" s="82" t="str">
        <f>VLOOKUP(L197,[1]Upcoming!$A$5:$I$185,2,FALSE)</f>
        <v/>
      </c>
      <c r="U197" s="83" t="str">
        <f>VLOOKUP(L197,[1]Upcoming!$A$5:$I$185,3,FALSE)</f>
        <v/>
      </c>
      <c r="V197" s="84"/>
      <c r="W197" s="82" t="e">
        <f>IF(ISBLANK(VLOOKUP(I197,[1]Upcoming!$A$5:$I$185,4,FALSE)),"",VLOOKUP(I197,[1]Upcoming!$A$5:$I$185,4,FALSE))</f>
        <v>#N/A</v>
      </c>
      <c r="X197" s="83" t="e">
        <f>IF(ISBLANK(VLOOKUP(I197,[1]Upcoming!$A$5:$I$185,5,FALSE)),"",VLOOKUP(I197,[1]Upcoming!$A$5:$I$185,5,FALSE))</f>
        <v>#N/A</v>
      </c>
      <c r="Y197" s="84"/>
      <c r="Z197" s="82" t="str">
        <f>IF(ISBLANK(VLOOKUP(L197,[1]Upcoming!$A$5:$I$185,6,FALSE)),"",VLOOKUP(L197,[1]Upcoming!$A$5:$I$185,6,FALSE))</f>
        <v/>
      </c>
      <c r="AA197" s="83" t="str">
        <f>IF(ISBLANK(VLOOKUP(L197,[1]Upcoming!$A$5:$I$185,7,FALSE)),"",VLOOKUP(L197,[1]Upcoming!$A$5:$I$185,7,FALSE))</f>
        <v/>
      </c>
      <c r="AB197" s="84"/>
      <c r="AC197" s="82" t="str">
        <f>IF(ISBLANK(VLOOKUP(L197,[1]Upcoming!$A$5:$I$185,8,FALSE)),"",VLOOKUP(L197,[1]Upcoming!$A$5:$I$185,8,FALSE))</f>
        <v/>
      </c>
      <c r="AD197" s="83" t="str">
        <f>IF(ISBLANK(VLOOKUP(L197,[1]Upcoming!$A$5:$I$185,9,FALSE)),"",VLOOKUP(L197,[1]Upcoming!$A$5:$I$185,9,FALSE))</f>
        <v/>
      </c>
    </row>
    <row r="198" spans="11:30" ht="25.5" customHeight="1" thickBot="1" x14ac:dyDescent="0.3">
      <c r="K198" s="74" t="e">
        <f t="shared" ca="1" si="30"/>
        <v>#REF!</v>
      </c>
      <c r="L198" s="97" t="s">
        <v>309</v>
      </c>
      <c r="M198" s="86"/>
      <c r="N198" s="106" t="e">
        <f t="shared" ca="1" si="31"/>
        <v>#REF!</v>
      </c>
      <c r="O198" s="87" t="e">
        <f t="shared" ca="1" si="32"/>
        <v>#REF!</v>
      </c>
      <c r="P198" s="88" t="e">
        <f t="shared" ca="1" si="33"/>
        <v>#REF!</v>
      </c>
      <c r="Q198" s="89" t="e">
        <f ca="1">INDIRECT("'[summary.xls]"&amp;L198&amp;"'!$L$1")</f>
        <v>#REF!</v>
      </c>
      <c r="R198" s="112" t="e">
        <f t="shared" ca="1" si="34"/>
        <v>#REF!</v>
      </c>
      <c r="S198" s="81"/>
      <c r="T198" s="82" t="str">
        <f>VLOOKUP(L198,[1]Upcoming!$A$5:$I$185,2,FALSE)</f>
        <v/>
      </c>
      <c r="U198" s="83" t="str">
        <f>VLOOKUP(L198,[1]Upcoming!$A$5:$I$185,3,FALSE)</f>
        <v/>
      </c>
      <c r="V198" s="84"/>
      <c r="W198" s="82" t="e">
        <f>IF(ISBLANK(VLOOKUP(I198,[1]Upcoming!$A$5:$I$185,4,FALSE)),"",VLOOKUP(I198,[1]Upcoming!$A$5:$I$185,4,FALSE))</f>
        <v>#N/A</v>
      </c>
      <c r="X198" s="83" t="e">
        <f>IF(ISBLANK(VLOOKUP(I198,[1]Upcoming!$A$5:$I$185,5,FALSE)),"",VLOOKUP(I198,[1]Upcoming!$A$5:$I$185,5,FALSE))</f>
        <v>#N/A</v>
      </c>
      <c r="Y198" s="84"/>
      <c r="Z198" s="82" t="str">
        <f>IF(ISBLANK(VLOOKUP(L198,[1]Upcoming!$A$5:$I$185,6,FALSE)),"",VLOOKUP(L198,[1]Upcoming!$A$5:$I$185,6,FALSE))</f>
        <v/>
      </c>
      <c r="AA198" s="83" t="str">
        <f>IF(ISBLANK(VLOOKUP(L198,[1]Upcoming!$A$5:$I$185,7,FALSE)),"",VLOOKUP(L198,[1]Upcoming!$A$5:$I$185,7,FALSE))</f>
        <v/>
      </c>
      <c r="AB198" s="84"/>
      <c r="AC198" s="82" t="str">
        <f>IF(ISBLANK(VLOOKUP(L198,[1]Upcoming!$A$5:$I$185,8,FALSE)),"",VLOOKUP(L198,[1]Upcoming!$A$5:$I$185,8,FALSE))</f>
        <v/>
      </c>
      <c r="AD198" s="83" t="str">
        <f>IF(ISBLANK(VLOOKUP(L198,[1]Upcoming!$A$5:$I$185,9,FALSE)),"",VLOOKUP(L198,[1]Upcoming!$A$5:$I$185,9,FALSE))</f>
        <v/>
      </c>
    </row>
    <row r="199" spans="11:30" ht="25.5" customHeight="1" thickBot="1" x14ac:dyDescent="0.3">
      <c r="K199" s="74" t="e">
        <f t="shared" ca="1" si="30"/>
        <v>#REF!</v>
      </c>
      <c r="L199" s="97" t="s">
        <v>333</v>
      </c>
      <c r="M199" s="86"/>
      <c r="N199" s="106" t="e">
        <f t="shared" ca="1" si="31"/>
        <v>#REF!</v>
      </c>
      <c r="O199" s="87" t="e">
        <f t="shared" ca="1" si="32"/>
        <v>#REF!</v>
      </c>
      <c r="P199" s="88" t="e">
        <f t="shared" ca="1" si="33"/>
        <v>#REF!</v>
      </c>
      <c r="Q199" s="89" t="e">
        <f ca="1">INDIRECT("'[summary.xls]"&amp;L199&amp;"'!$L$1")</f>
        <v>#REF!</v>
      </c>
      <c r="R199" s="113" t="e">
        <f t="shared" ca="1" si="34"/>
        <v>#REF!</v>
      </c>
      <c r="S199" s="81"/>
      <c r="T199" s="82" t="str">
        <f>VLOOKUP(L199,[1]Upcoming!$A$5:$I$185,2,FALSE)</f>
        <v/>
      </c>
      <c r="U199" s="83" t="str">
        <f>VLOOKUP(L199,[1]Upcoming!$A$5:$I$185,3,FALSE)</f>
        <v/>
      </c>
      <c r="V199" s="84"/>
      <c r="W199" s="82" t="e">
        <f>IF(ISBLANK(VLOOKUP(I199,[1]Upcoming!$A$5:$I$185,4,FALSE)),"",VLOOKUP(I199,[1]Upcoming!$A$5:$I$185,4,FALSE))</f>
        <v>#N/A</v>
      </c>
      <c r="X199" s="83" t="e">
        <f>IF(ISBLANK(VLOOKUP(I199,[1]Upcoming!$A$5:$I$185,5,FALSE)),"",VLOOKUP(I199,[1]Upcoming!$A$5:$I$185,5,FALSE))</f>
        <v>#N/A</v>
      </c>
      <c r="Y199" s="84"/>
      <c r="Z199" s="82" t="str">
        <f>IF(ISBLANK(VLOOKUP(L199,[1]Upcoming!$A$5:$I$185,6,FALSE)),"",VLOOKUP(L199,[1]Upcoming!$A$5:$I$185,6,FALSE))</f>
        <v/>
      </c>
      <c r="AA199" s="83" t="str">
        <f>IF(ISBLANK(VLOOKUP(L199,[1]Upcoming!$A$5:$I$185,7,FALSE)),"",VLOOKUP(L199,[1]Upcoming!$A$5:$I$185,7,FALSE))</f>
        <v/>
      </c>
      <c r="AB199" s="84"/>
      <c r="AC199" s="82" t="str">
        <f>IF(ISBLANK(VLOOKUP(L199,[1]Upcoming!$A$5:$I$185,8,FALSE)),"",VLOOKUP(L199,[1]Upcoming!$A$5:$I$185,8,FALSE))</f>
        <v/>
      </c>
      <c r="AD199" s="83" t="str">
        <f>IF(ISBLANK(VLOOKUP(L199,[1]Upcoming!$A$5:$I$185,9,FALSE)),"",VLOOKUP(L199,[1]Upcoming!$A$5:$I$185,9,FALSE))</f>
        <v/>
      </c>
    </row>
    <row r="200" spans="11:30" ht="25.5" customHeight="1" thickBot="1" x14ac:dyDescent="0.3">
      <c r="K200" s="75" t="e">
        <f t="shared" ca="1" si="30"/>
        <v>#REF!</v>
      </c>
      <c r="L200" s="98" t="s">
        <v>296</v>
      </c>
      <c r="M200" s="91"/>
      <c r="N200" s="107" t="e">
        <f t="shared" ca="1" si="31"/>
        <v>#REF!</v>
      </c>
      <c r="O200" s="92" t="e">
        <f t="shared" ca="1" si="32"/>
        <v>#REF!</v>
      </c>
      <c r="P200" s="93" t="e">
        <f t="shared" ca="1" si="33"/>
        <v>#REF!</v>
      </c>
      <c r="Q200" s="94" t="e">
        <f ca="1">INDIRECT("'[summary.xls]"&amp;L200&amp;"'!$L$1")</f>
        <v>#REF!</v>
      </c>
      <c r="R200" s="90" t="e">
        <f t="shared" ca="1" si="34"/>
        <v>#REF!</v>
      </c>
      <c r="S200" s="81"/>
      <c r="T200" s="82" t="str">
        <f>VLOOKUP(L200,[1]Upcoming!$A$5:$I$185,2,FALSE)</f>
        <v/>
      </c>
      <c r="U200" s="83" t="str">
        <f>VLOOKUP(L200,[1]Upcoming!$A$5:$I$185,3,FALSE)</f>
        <v/>
      </c>
      <c r="V200" s="84"/>
      <c r="W200" s="82" t="e">
        <f>IF(ISBLANK(VLOOKUP(I200,[1]Upcoming!$A$5:$I$185,4,FALSE)),"",VLOOKUP(I200,[1]Upcoming!$A$5:$I$185,4,FALSE))</f>
        <v>#N/A</v>
      </c>
      <c r="X200" s="83" t="e">
        <f>IF(ISBLANK(VLOOKUP(I200,[1]Upcoming!$A$5:$I$185,5,FALSE)),"",VLOOKUP(I200,[1]Upcoming!$A$5:$I$185,5,FALSE))</f>
        <v>#N/A</v>
      </c>
      <c r="Y200" s="84"/>
      <c r="Z200" s="82" t="str">
        <f>IF(ISBLANK(VLOOKUP(L200,[1]Upcoming!$A$5:$I$185,6,FALSE)),"",VLOOKUP(L200,[1]Upcoming!$A$5:$I$185,6,FALSE))</f>
        <v/>
      </c>
      <c r="AA200" s="83" t="str">
        <f>IF(ISBLANK(VLOOKUP(L200,[1]Upcoming!$A$5:$I$185,7,FALSE)),"",VLOOKUP(L200,[1]Upcoming!$A$5:$I$185,7,FALSE))</f>
        <v/>
      </c>
      <c r="AB200" s="84"/>
      <c r="AC200" s="82" t="str">
        <f>IF(ISBLANK(VLOOKUP(L200,[1]Upcoming!$A$5:$I$185,8,FALSE)),"",VLOOKUP(L200,[1]Upcoming!$A$5:$I$185,8,FALSE))</f>
        <v/>
      </c>
      <c r="AD200" s="83" t="str">
        <f>IF(ISBLANK(VLOOKUP(L200,[1]Upcoming!$A$5:$I$185,9,FALSE)),"",VLOOKUP(L200,[1]Upcoming!$A$5:$I$185,9,FALSE))</f>
        <v/>
      </c>
    </row>
    <row r="201" spans="11:30" ht="15.75" customHeight="1" thickTop="1" x14ac:dyDescent="0.2"/>
    <row r="202" spans="11:30" ht="15.75" customHeight="1" x14ac:dyDescent="0.2"/>
  </sheetData>
  <sortState xmlns:xlrd2="http://schemas.microsoft.com/office/spreadsheetml/2017/richdata2" ref="K20:R200">
    <sortCondition ref="K20:K200"/>
    <sortCondition descending="1" ref="P20:P200"/>
    <sortCondition ref="L20:L200"/>
  </sortState>
  <mergeCells count="19">
    <mergeCell ref="K17:K19"/>
    <mergeCell ref="R17:R19"/>
    <mergeCell ref="O17:O19"/>
    <mergeCell ref="P17:P19"/>
    <mergeCell ref="M17:M19"/>
    <mergeCell ref="L17:L19"/>
    <mergeCell ref="N17:N19"/>
    <mergeCell ref="Q17:Q19"/>
    <mergeCell ref="T3:AD4"/>
    <mergeCell ref="T6:AD7"/>
    <mergeCell ref="T12:AD15"/>
    <mergeCell ref="K2:R8"/>
    <mergeCell ref="P10:R11"/>
    <mergeCell ref="A2:I3"/>
    <mergeCell ref="J14:J15"/>
    <mergeCell ref="P15:Q16"/>
    <mergeCell ref="R13:R14"/>
    <mergeCell ref="P13:Q14"/>
    <mergeCell ref="A9:I10"/>
  </mergeCells>
  <conditionalFormatting sqref="R20:R200">
    <cfRule type="top10" dxfId="9" priority="1" stopIfTrue="1" rank="1"/>
  </conditionalFormatting>
  <conditionalFormatting sqref="O20:O200">
    <cfRule type="top10" dxfId="8" priority="50" stopIfTrue="1" rank="1"/>
  </conditionalFormatting>
  <hyperlinks>
    <hyperlink ref="O96" r:id="rId1" display="group_pts\Ana_group_pts.htm" xr:uid="{00000000-0004-0000-0000-000000000000}"/>
    <hyperlink ref="P96" r:id="rId2" display="knockout_pts\Ana_knockout_pts.htm" xr:uid="{00000000-0004-0000-0000-000001000000}"/>
    <hyperlink ref="R96" r:id="rId3" display="bonus_pts\Ana_bonus_pts.htm" xr:uid="{00000000-0004-0000-0000-000002000000}"/>
    <hyperlink ref="L66" r:id="rId4" xr:uid="{00000000-0004-0000-0000-000003000000}"/>
    <hyperlink ref="O66" r:id="rId5" display="group_pts\Aban_group_pts.htm" xr:uid="{00000000-0004-0000-0000-000004000000}"/>
    <hyperlink ref="P66" r:id="rId6" display="knockout_pts\Aban_knockout_pts.htm" xr:uid="{00000000-0004-0000-0000-000005000000}"/>
    <hyperlink ref="R66" r:id="rId7" display="bonus_pts\Aban_bonus_pts.htm" xr:uid="{00000000-0004-0000-0000-000006000000}"/>
    <hyperlink ref="L120" r:id="rId8" xr:uid="{00000000-0004-0000-0000-000007000000}"/>
    <hyperlink ref="O120" r:id="rId9" display="group_pts\ChrisF_group_pts.htm" xr:uid="{00000000-0004-0000-0000-000008000000}"/>
    <hyperlink ref="P120" r:id="rId10" display="knockout_pts\ChrisF_knockout_pts.htm" xr:uid="{00000000-0004-0000-0000-000009000000}"/>
    <hyperlink ref="R120" r:id="rId11" display="bonus_pts\ChrisF_bonus_pts.htm" xr:uid="{00000000-0004-0000-0000-00000A000000}"/>
    <hyperlink ref="L60" r:id="rId12" xr:uid="{00000000-0004-0000-0000-00000B000000}"/>
    <hyperlink ref="O60" r:id="rId13" display="group_pts\Chrissy_group_pts.htm" xr:uid="{00000000-0004-0000-0000-00000C000000}"/>
    <hyperlink ref="P60" r:id="rId14" display="knockout_pts\Chrissy_knockout_pts.htm" xr:uid="{00000000-0004-0000-0000-00000D000000}"/>
    <hyperlink ref="R60" r:id="rId15" display="bonus_pts\Chrissy_bonus_pts.htm" xr:uid="{00000000-0004-0000-0000-00000E000000}"/>
    <hyperlink ref="L154" r:id="rId16" xr:uid="{00000000-0004-0000-0000-00000F000000}"/>
    <hyperlink ref="O154" r:id="rId17" display="group_pts\Daisy_group_pts.htm" xr:uid="{00000000-0004-0000-0000-000010000000}"/>
    <hyperlink ref="P154" r:id="rId18" display="knockout_pts\Daisy_knockout_pts.htm" xr:uid="{00000000-0004-0000-0000-000011000000}"/>
    <hyperlink ref="R154" r:id="rId19" display="bonus_pts\Daisy_bonus_pts.htm" xr:uid="{00000000-0004-0000-0000-000012000000}"/>
    <hyperlink ref="L138" r:id="rId20" xr:uid="{00000000-0004-0000-0000-000013000000}"/>
    <hyperlink ref="O138" r:id="rId21" display="group_pts\DerekD_group_pts.htm" xr:uid="{00000000-0004-0000-0000-000014000000}"/>
    <hyperlink ref="P138" r:id="rId22" display="knockout_pts\DerekD_knockout_pts.htm" xr:uid="{00000000-0004-0000-0000-000015000000}"/>
    <hyperlink ref="R138" r:id="rId23" display="bonus_pts\DerekD_bonus_pts.htm" xr:uid="{00000000-0004-0000-0000-000016000000}"/>
    <hyperlink ref="L131" r:id="rId24" xr:uid="{00000000-0004-0000-0000-000017000000}"/>
    <hyperlink ref="O131" r:id="rId25" display="group_pts\EdwardT_group_pts.htm" xr:uid="{00000000-0004-0000-0000-000018000000}"/>
    <hyperlink ref="P131" r:id="rId26" display="knockout_pts\EdwardT_knockout_pts.htm" xr:uid="{00000000-0004-0000-0000-000019000000}"/>
    <hyperlink ref="R131" r:id="rId27" display="bonus_pts\EdwardT_bonus_pts.htm" xr:uid="{00000000-0004-0000-0000-00001A000000}"/>
    <hyperlink ref="L28" r:id="rId28" xr:uid="{00000000-0004-0000-0000-00001B000000}"/>
    <hyperlink ref="O28" r:id="rId29" display="group_pts\MichaelM_group_pts.htm" xr:uid="{00000000-0004-0000-0000-00001C000000}"/>
    <hyperlink ref="P28" r:id="rId30" display="knockout_pts\MichaelM_knockout_pts.htm" xr:uid="{00000000-0004-0000-0000-00001D000000}"/>
    <hyperlink ref="R28" r:id="rId31" display="bonus_pts\MichaelM_bonus_pts.htm" xr:uid="{00000000-0004-0000-0000-00001E000000}"/>
    <hyperlink ref="L117" r:id="rId32" xr:uid="{00000000-0004-0000-0000-00001F000000}"/>
    <hyperlink ref="O117" r:id="rId33" display="group_pts\LiamM_group_pts.htm" xr:uid="{00000000-0004-0000-0000-000020000000}"/>
    <hyperlink ref="P117" r:id="rId34" display="knockout_pts\LiamM_knockout_pts.htm" xr:uid="{00000000-0004-0000-0000-000021000000}"/>
    <hyperlink ref="R117" r:id="rId35" display="bonus_pts\LiamM_bonus_pts.htm" xr:uid="{00000000-0004-0000-0000-000022000000}"/>
    <hyperlink ref="L90" r:id="rId36" xr:uid="{00000000-0004-0000-0000-000023000000}"/>
    <hyperlink ref="O90" r:id="rId37" display="group_pts\Avix_group_pts.htm" xr:uid="{00000000-0004-0000-0000-000024000000}"/>
    <hyperlink ref="P90" r:id="rId38" display="knockout_pts\Avix_knockout_pts.htm" xr:uid="{00000000-0004-0000-0000-000025000000}"/>
    <hyperlink ref="R90" r:id="rId39" display="bonus_pts\Avix_bonus_pts.htm" xr:uid="{00000000-0004-0000-0000-000026000000}"/>
    <hyperlink ref="L134" r:id="rId40" xr:uid="{00000000-0004-0000-0000-000027000000}"/>
    <hyperlink ref="O134" r:id="rId41" display="group_pts\TonyS_group_pts.htm" xr:uid="{00000000-0004-0000-0000-000028000000}"/>
    <hyperlink ref="P134" r:id="rId42" display="knockout_pts\TonyS_knockout_pts.htm" xr:uid="{00000000-0004-0000-0000-000029000000}"/>
    <hyperlink ref="R134" r:id="rId43" display="bonus_pts\TonyS_bonus_pts.htm" xr:uid="{00000000-0004-0000-0000-00002A000000}"/>
    <hyperlink ref="L177" r:id="rId44" xr:uid="{00000000-0004-0000-0000-00002B000000}"/>
    <hyperlink ref="O177" r:id="rId45" display="group_pts\Shawn1_group_pts.htm" xr:uid="{00000000-0004-0000-0000-00002C000000}"/>
    <hyperlink ref="P177" r:id="rId46" display="knockout_pts\Shawn1_knockout_pts.htm" xr:uid="{00000000-0004-0000-0000-00002D000000}"/>
    <hyperlink ref="R177" r:id="rId47" display="bonus_pts\Shawn1_bonus_pts.htm" xr:uid="{00000000-0004-0000-0000-00002E000000}"/>
    <hyperlink ref="L76" r:id="rId48" xr:uid="{00000000-0004-0000-0000-00002F000000}"/>
    <hyperlink ref="O76" r:id="rId49" display="group_pts\PaulC_group_pts.htm" xr:uid="{00000000-0004-0000-0000-000030000000}"/>
    <hyperlink ref="P76" r:id="rId50" display="knockout_pts\PaulC_knockout_pts.htm" xr:uid="{00000000-0004-0000-0000-000031000000}"/>
    <hyperlink ref="L193" r:id="rId51" xr:uid="{00000000-0004-0000-0000-000032000000}"/>
    <hyperlink ref="O193" r:id="rId52" display="group_pts\Nicole_group_pts.htm" xr:uid="{00000000-0004-0000-0000-000033000000}"/>
    <hyperlink ref="P193" r:id="rId53" display="knockout_pts\Nicole_knockout_pts.htm" xr:uid="{00000000-0004-0000-0000-000034000000}"/>
    <hyperlink ref="L181" r:id="rId54" xr:uid="{00000000-0004-0000-0000-000035000000}"/>
    <hyperlink ref="O181" r:id="rId55" display="group_pts\MichaelP_group_pts.htm" xr:uid="{00000000-0004-0000-0000-000036000000}"/>
    <hyperlink ref="P181" r:id="rId56" display="knockout_pts\MichaelP_knockout_pts.htm" xr:uid="{00000000-0004-0000-0000-000037000000}"/>
    <hyperlink ref="R181" r:id="rId57" display="bonus_pts\MichaelP_bonus_pts.htm" xr:uid="{00000000-0004-0000-0000-000038000000}"/>
    <hyperlink ref="L142" r:id="rId58" xr:uid="{00000000-0004-0000-0000-000039000000}"/>
    <hyperlink ref="O142" r:id="rId59" display="group_pts\Manny_group_pts.htm" xr:uid="{00000000-0004-0000-0000-00003A000000}"/>
    <hyperlink ref="P142" r:id="rId60" display="knockout_pts\Manny_knockout_pts.htm" xr:uid="{00000000-0004-0000-0000-00003B000000}"/>
    <hyperlink ref="R142" r:id="rId61" display="bonus_pts\Manny_bonus_pts.htm" xr:uid="{00000000-0004-0000-0000-00003C000000}"/>
    <hyperlink ref="L48" r:id="rId62" xr:uid="{00000000-0004-0000-0000-00003D000000}"/>
    <hyperlink ref="O48" r:id="rId63" display="group_pts\Manley_group_pts.htm" xr:uid="{00000000-0004-0000-0000-00003E000000}"/>
    <hyperlink ref="P48" r:id="rId64" display="knockout_pts\Manley_knockout_pts.htm" xr:uid="{00000000-0004-0000-0000-00003F000000}"/>
    <hyperlink ref="R48" r:id="rId65" display="bonus_pts\Manley_bonus_pts.htm" xr:uid="{00000000-0004-0000-0000-000040000000}"/>
    <hyperlink ref="L122" r:id="rId66" xr:uid="{00000000-0004-0000-0000-000041000000}"/>
    <hyperlink ref="O122" r:id="rId67" display="group_pts\James_group_pts.htm" xr:uid="{00000000-0004-0000-0000-000042000000}"/>
    <hyperlink ref="P122" r:id="rId68" display="knockout_pts\James_knockout_pts.htm" xr:uid="{00000000-0004-0000-0000-000043000000}"/>
    <hyperlink ref="L75" r:id="rId69" xr:uid="{00000000-0004-0000-0000-000044000000}"/>
    <hyperlink ref="O75" r:id="rId70" display="group_pts\MatthewS2_group_pts.htm" xr:uid="{00000000-0004-0000-0000-000045000000}"/>
    <hyperlink ref="P75" r:id="rId71" display="knockout_pts\MatthewS2_knockout_pts.htm" xr:uid="{00000000-0004-0000-0000-000046000000}"/>
    <hyperlink ref="L111" r:id="rId72" xr:uid="{00000000-0004-0000-0000-000047000000}"/>
    <hyperlink ref="O111" r:id="rId73" display="group_pts\Gustavo_group_pts.htm" xr:uid="{00000000-0004-0000-0000-000048000000}"/>
    <hyperlink ref="P111" r:id="rId74" display="knockout_pts\Gustavo_knockout_pts.htm" xr:uid="{00000000-0004-0000-0000-000049000000}"/>
    <hyperlink ref="R111" r:id="rId75" display="bonus_pts\Gustavo_bonus_pts.htm" xr:uid="{00000000-0004-0000-0000-00004A000000}"/>
    <hyperlink ref="L34" r:id="rId76" xr:uid="{00000000-0004-0000-0000-00004B000000}"/>
    <hyperlink ref="O34" r:id="rId77" display="group_pts\Franco_group_pts.htm" xr:uid="{00000000-0004-0000-0000-00004C000000}"/>
    <hyperlink ref="P34" r:id="rId78" display="knockout_pts\Franco_knockout_pts.htm" xr:uid="{00000000-0004-0000-0000-00004D000000}"/>
    <hyperlink ref="L107" r:id="rId79" xr:uid="{00000000-0004-0000-0000-00004E000000}"/>
    <hyperlink ref="O107" r:id="rId80" display="group_pts\Edsel_group_pts.htm" xr:uid="{00000000-0004-0000-0000-00004F000000}"/>
    <hyperlink ref="P107" r:id="rId81" display="knockout_pts\Edsel_knockout_pts.htm" xr:uid="{00000000-0004-0000-0000-000050000000}"/>
    <hyperlink ref="R107" r:id="rId82" display="bonus_pts\Edsel_bonus_pts.htm" xr:uid="{00000000-0004-0000-0000-000051000000}"/>
    <hyperlink ref="L80" r:id="rId83" xr:uid="{00000000-0004-0000-0000-000052000000}"/>
    <hyperlink ref="L147" r:id="rId84" xr:uid="{00000000-0004-0000-0000-000053000000}"/>
    <hyperlink ref="L29" r:id="rId85" xr:uid="{00000000-0004-0000-0000-000054000000}"/>
    <hyperlink ref="O80" r:id="rId86" display="group_pts\Alex_group_pts.htm" xr:uid="{00000000-0004-0000-0000-000055000000}"/>
    <hyperlink ref="O147" r:id="rId87" display="group_pts\Alice_group_pts.htm" xr:uid="{00000000-0004-0000-0000-000056000000}"/>
    <hyperlink ref="O29" r:id="rId88" display="group_pts\Angelo_group_pts.htm" xr:uid="{00000000-0004-0000-0000-000057000000}"/>
    <hyperlink ref="P80" r:id="rId89" display="knockout_pts\Alex_knockout_pts.htm" xr:uid="{00000000-0004-0000-0000-000058000000}"/>
    <hyperlink ref="P147" r:id="rId90" display="knockout_pts\Alice_knockout_pts.htm" xr:uid="{00000000-0004-0000-0000-000059000000}"/>
    <hyperlink ref="P29" r:id="rId91" display="knockout_pts\Angelo_knockout_pts.htm" xr:uid="{00000000-0004-0000-0000-00005A000000}"/>
    <hyperlink ref="R80" r:id="rId92" display="bonus_pts\Alex_bonus_pts.htm" xr:uid="{00000000-0004-0000-0000-00005B000000}"/>
    <hyperlink ref="R147" r:id="rId93" display="bonus_pts\Alice_bonus_pts.htm" xr:uid="{00000000-0004-0000-0000-00005C000000}"/>
    <hyperlink ref="R29" r:id="rId94" display="bonus_pts\Angelo_bonus_pts.htm" xr:uid="{00000000-0004-0000-0000-00005D000000}"/>
    <hyperlink ref="R196" r:id="rId95" display="bonus_pts\Antonio_bonus_pts.htm" xr:uid="{00000000-0004-0000-0000-00005E000000}"/>
    <hyperlink ref="P196" r:id="rId96" display="knockout_pts\Antonio_knockout_pts.htm" xr:uid="{00000000-0004-0000-0000-00005F000000}"/>
    <hyperlink ref="O196" r:id="rId97" display="group_pts\Antonio_group_pts.htm" xr:uid="{00000000-0004-0000-0000-000060000000}"/>
    <hyperlink ref="L196" r:id="rId98" xr:uid="{00000000-0004-0000-0000-000061000000}"/>
    <hyperlink ref="R83" r:id="rId99" display="bonus_pts\Bert_bonus_pts.htm" xr:uid="{00000000-0004-0000-0000-000062000000}"/>
    <hyperlink ref="P83" r:id="rId100" display="knockout_pts\Bert_knockout_pts.htm" xr:uid="{00000000-0004-0000-0000-000063000000}"/>
    <hyperlink ref="O83" r:id="rId101" display="group_pts\Bert_group_pts.htm" xr:uid="{00000000-0004-0000-0000-000064000000}"/>
    <hyperlink ref="L83" r:id="rId102" xr:uid="{00000000-0004-0000-0000-000065000000}"/>
    <hyperlink ref="R162" r:id="rId103" display="bonus_pts\Brendan_bonus_pts.htm" xr:uid="{00000000-0004-0000-0000-000066000000}"/>
    <hyperlink ref="P162" r:id="rId104" display="knockout_pts\Brendan_knockout_pts.htm" xr:uid="{00000000-0004-0000-0000-000067000000}"/>
    <hyperlink ref="O162" r:id="rId105" display="group_pts\Brendan_group_pts.htm" xr:uid="{00000000-0004-0000-0000-000068000000}"/>
    <hyperlink ref="L162" r:id="rId106" xr:uid="{00000000-0004-0000-0000-000069000000}"/>
    <hyperlink ref="R169" r:id="rId107" display="bonus_pts\Balbir_bonus_pts.htm" xr:uid="{00000000-0004-0000-0000-00006A000000}"/>
    <hyperlink ref="P169" r:id="rId108" display="knockout_pts\Balbir_knockout_pts.htm" xr:uid="{00000000-0004-0000-0000-00006B000000}"/>
    <hyperlink ref="O169" r:id="rId109" display="group_pts\Balbir_group_pts.htm" xr:uid="{00000000-0004-0000-0000-00006C000000}"/>
    <hyperlink ref="L169" r:id="rId110" xr:uid="{00000000-0004-0000-0000-00006D000000}"/>
    <hyperlink ref="R93" r:id="rId111" display="bonus_pts\Ash_bonus_pts.htm" xr:uid="{00000000-0004-0000-0000-00006E000000}"/>
    <hyperlink ref="P93" r:id="rId112" display="knockout_pts\Ash_knockout_pts.htm" xr:uid="{00000000-0004-0000-0000-00006F000000}"/>
    <hyperlink ref="O93" r:id="rId113" display="group_pts\Ash_group_pts.htm" xr:uid="{00000000-0004-0000-0000-000070000000}"/>
    <hyperlink ref="L93" r:id="rId114" xr:uid="{00000000-0004-0000-0000-000071000000}"/>
    <hyperlink ref="R128" r:id="rId115" display="bonus_pts\Arturo_bonus_pts.htm" xr:uid="{00000000-0004-0000-0000-000072000000}"/>
    <hyperlink ref="P128" r:id="rId116" display="knockout_pts\Arturo_knockout_pts.htm" xr:uid="{00000000-0004-0000-0000-000073000000}"/>
    <hyperlink ref="O128" r:id="rId117" display="group_pts\Arturo_group_pts.htm" xr:uid="{00000000-0004-0000-0000-000074000000}"/>
    <hyperlink ref="L128" r:id="rId118" xr:uid="{00000000-0004-0000-0000-000075000000}"/>
    <hyperlink ref="R73" r:id="rId119" display="bonus_pts\DannyL2_bonus_pts.htm" xr:uid="{00000000-0004-0000-0000-000076000000}"/>
    <hyperlink ref="R70" r:id="rId120" display="bonus_pts\Baffour_bonus_pts.htm" xr:uid="{00000000-0004-0000-0000-000077000000}"/>
    <hyperlink ref="R89" r:id="rId121" display="bonus_pts\Augie_bonus_pts.htm" xr:uid="{00000000-0004-0000-0000-000078000000}"/>
    <hyperlink ref="P73" r:id="rId122" display="knockout_pts\DannyL2_knockout_pts.htm" xr:uid="{00000000-0004-0000-0000-000079000000}"/>
    <hyperlink ref="P70" r:id="rId123" display="knockout_pts\Baffour_knockout_pts.htm" xr:uid="{00000000-0004-0000-0000-00007A000000}"/>
    <hyperlink ref="P89" r:id="rId124" display="knockout_pts\Augie_knockout_pts.htm" xr:uid="{00000000-0004-0000-0000-00007B000000}"/>
    <hyperlink ref="O73" r:id="rId125" display="group_pts\DannyL2_group_pts.htm" xr:uid="{00000000-0004-0000-0000-00007C000000}"/>
    <hyperlink ref="O70" r:id="rId126" display="group_pts\Baffour_group_pts.htm" xr:uid="{00000000-0004-0000-0000-00007D000000}"/>
    <hyperlink ref="O89" r:id="rId127" display="group_pts\Augie_group_pts.htm" xr:uid="{00000000-0004-0000-0000-00007E000000}"/>
    <hyperlink ref="L73" r:id="rId128" xr:uid="{00000000-0004-0000-0000-00007F000000}"/>
    <hyperlink ref="L70" r:id="rId129" xr:uid="{00000000-0004-0000-0000-000080000000}"/>
    <hyperlink ref="L89" r:id="rId130" xr:uid="{00000000-0004-0000-0000-000081000000}"/>
    <hyperlink ref="R148" r:id="rId131" display="bonus_pts\Carmen_bonus_pts.htm" xr:uid="{00000000-0004-0000-0000-000082000000}"/>
    <hyperlink ref="R112" r:id="rId132" display="bonus_pts\CarlosG_bonus_pts.htm" xr:uid="{00000000-0004-0000-0000-000083000000}"/>
    <hyperlink ref="R42" r:id="rId133" display="bonus_pts\ChrisK_bonus_pts.htm" xr:uid="{00000000-0004-0000-0000-000084000000}"/>
    <hyperlink ref="R164" r:id="rId134" display="bonus_pts\Tom_bonus_pts.htm" xr:uid="{00000000-0004-0000-0000-000085000000}"/>
    <hyperlink ref="R185" r:id="rId135" display="bonus_pts\Caroline_bonus_pts.htm" xr:uid="{00000000-0004-0000-0000-000086000000}"/>
    <hyperlink ref="P148" r:id="rId136" display="knockout_pts\Carmen_knockout_pts.htm" xr:uid="{00000000-0004-0000-0000-000087000000}"/>
    <hyperlink ref="P112" r:id="rId137" display="knockout_pts\CarlosG_knockout_pts.htm" xr:uid="{00000000-0004-0000-0000-000088000000}"/>
    <hyperlink ref="P42" r:id="rId138" display="knockout_pts\ChrisK_knockout_pts.htm" xr:uid="{00000000-0004-0000-0000-000089000000}"/>
    <hyperlink ref="P54" r:id="rId139" display="knockout_pts\Rousse_knockout_pts.htm" xr:uid="{00000000-0004-0000-0000-00008A000000}"/>
    <hyperlink ref="P164" r:id="rId140" display="knockout_pts\Tom_knockout_pts.htm" xr:uid="{00000000-0004-0000-0000-00008B000000}"/>
    <hyperlink ref="P185" r:id="rId141" display="knockout_pts\Caroline_knockout_pts.htm" xr:uid="{00000000-0004-0000-0000-00008C000000}"/>
    <hyperlink ref="O148" r:id="rId142" display="group_pts\Carmen_group_pts.htm" xr:uid="{00000000-0004-0000-0000-00008D000000}"/>
    <hyperlink ref="O112" r:id="rId143" display="group_pts\CarlosG_group_pts.htm" xr:uid="{00000000-0004-0000-0000-00008E000000}"/>
    <hyperlink ref="O42" r:id="rId144" display="group_pts\ChrisK_group_pts.htm" xr:uid="{00000000-0004-0000-0000-00008F000000}"/>
    <hyperlink ref="O54" r:id="rId145" display="group_pts\Rousse_group_pts.htm" xr:uid="{00000000-0004-0000-0000-000090000000}"/>
    <hyperlink ref="O164" r:id="rId146" display="group_pts\Tom_group_pts.htm" xr:uid="{00000000-0004-0000-0000-000091000000}"/>
    <hyperlink ref="O185" r:id="rId147" display="group_pts\Caroline_group_pts.htm" xr:uid="{00000000-0004-0000-0000-000092000000}"/>
    <hyperlink ref="L148" r:id="rId148" xr:uid="{00000000-0004-0000-0000-000093000000}"/>
    <hyperlink ref="L112" r:id="rId149" xr:uid="{00000000-0004-0000-0000-000094000000}"/>
    <hyperlink ref="L42" r:id="rId150" xr:uid="{00000000-0004-0000-0000-000095000000}"/>
    <hyperlink ref="L164" r:id="rId151" xr:uid="{00000000-0004-0000-0000-000096000000}"/>
    <hyperlink ref="L185" r:id="rId152" xr:uid="{00000000-0004-0000-0000-000097000000}"/>
    <hyperlink ref="L155" r:id="rId153" xr:uid="{00000000-0004-0000-0000-000098000000}"/>
    <hyperlink ref="L35" r:id="rId154" xr:uid="{00000000-0004-0000-0000-000099000000}"/>
    <hyperlink ref="L195" r:id="rId155" xr:uid="{00000000-0004-0000-0000-00009A000000}"/>
    <hyperlink ref="L31" r:id="rId156" xr:uid="{00000000-0004-0000-0000-00009B000000}"/>
    <hyperlink ref="O155" r:id="rId157" display="group_pts\Angel_group_pts.htm" xr:uid="{00000000-0004-0000-0000-00009C000000}"/>
    <hyperlink ref="O35" r:id="rId158" display="group_pts\ChrisP_group_pts.htm" xr:uid="{00000000-0004-0000-0000-00009D000000}"/>
    <hyperlink ref="O195" r:id="rId159" display="group_pts\Corey_group_pts.htm" xr:uid="{00000000-0004-0000-0000-00009E000000}"/>
    <hyperlink ref="O31" r:id="rId160" display="group_pts\Rachel_group_pts.htm" xr:uid="{00000000-0004-0000-0000-00009F000000}"/>
    <hyperlink ref="P155" r:id="rId161" display="knockout_pts\Angel_knockout_pts.htm" xr:uid="{00000000-0004-0000-0000-0000A0000000}"/>
    <hyperlink ref="P35" r:id="rId162" display="knockout_pts\ChrisP_knockout_pts.htm" xr:uid="{00000000-0004-0000-0000-0000A1000000}"/>
    <hyperlink ref="P195" r:id="rId163" display="knockout_pts\Corey_knockout_pts.htm" xr:uid="{00000000-0004-0000-0000-0000A2000000}"/>
    <hyperlink ref="P31" r:id="rId164" display="knockout_pts\Rachel_knockout_pts.htm" xr:uid="{00000000-0004-0000-0000-0000A3000000}"/>
    <hyperlink ref="R155" r:id="rId165" display="bonus_pts\Angel_bonus_pts.htm" xr:uid="{00000000-0004-0000-0000-0000A4000000}"/>
    <hyperlink ref="R35" r:id="rId166" display="bonus_pts\ChrisP_bonus_pts.htm" xr:uid="{00000000-0004-0000-0000-0000A5000000}"/>
    <hyperlink ref="R195" r:id="rId167" display="bonus_pts\Corey_bonus_pts.htm" xr:uid="{00000000-0004-0000-0000-0000A6000000}"/>
    <hyperlink ref="R31" r:id="rId168" display="bonus_pts\Rachel_bonus_pts.htm" xr:uid="{00000000-0004-0000-0000-0000A7000000}"/>
    <hyperlink ref="L67" r:id="rId169" xr:uid="{00000000-0004-0000-0000-0000A8000000}"/>
    <hyperlink ref="L124" r:id="rId170" xr:uid="{00000000-0004-0000-0000-0000A9000000}"/>
    <hyperlink ref="L136" r:id="rId171" xr:uid="{00000000-0004-0000-0000-0000AA000000}"/>
    <hyperlink ref="L63" r:id="rId172" display="DanL" xr:uid="{00000000-0004-0000-0000-0000AB000000}"/>
    <hyperlink ref="L50" r:id="rId173" xr:uid="{00000000-0004-0000-0000-0000AC000000}"/>
    <hyperlink ref="L125" r:id="rId174" xr:uid="{00000000-0004-0000-0000-0000AD000000}"/>
    <hyperlink ref="L149" r:id="rId175" xr:uid="{00000000-0004-0000-0000-0000AE000000}"/>
    <hyperlink ref="L81" r:id="rId176" xr:uid="{00000000-0004-0000-0000-0000AF000000}"/>
    <hyperlink ref="L110" r:id="rId177" xr:uid="{00000000-0004-0000-0000-0000B0000000}"/>
    <hyperlink ref="O67" r:id="rId178" display="group_pts\Damian_group_pts.htm" xr:uid="{00000000-0004-0000-0000-0000B1000000}"/>
    <hyperlink ref="O124" r:id="rId179" display="group_pts\DanielM_group_pts.htm" xr:uid="{00000000-0004-0000-0000-0000B2000000}"/>
    <hyperlink ref="O136" r:id="rId180" display="group_pts\DannyL1_group_pts.htm" xr:uid="{00000000-0004-0000-0000-0000B3000000}"/>
    <hyperlink ref="O63" r:id="rId181" display="group_pts\DannyL3_group_pts.htm" xr:uid="{00000000-0004-0000-0000-0000B4000000}"/>
    <hyperlink ref="O50" r:id="rId182" display="group_pts\Darryll_group_pts.htm" xr:uid="{00000000-0004-0000-0000-0000B5000000}"/>
    <hyperlink ref="O125" r:id="rId183" display="group_pts\Daryl_group_pts.htm" xr:uid="{00000000-0004-0000-0000-0000B6000000}"/>
    <hyperlink ref="O149" r:id="rId184" display="group_pts\DannyRa_group_pts.htm" xr:uid="{00000000-0004-0000-0000-0000B7000000}"/>
    <hyperlink ref="O81" r:id="rId185" display="group_pts\DavidD_group_pts.htm" xr:uid="{00000000-0004-0000-0000-0000B8000000}"/>
    <hyperlink ref="O110" r:id="rId186" display="group_pts\Isaac_group_pts.htm" xr:uid="{00000000-0004-0000-0000-0000B9000000}"/>
    <hyperlink ref="P67" r:id="rId187" display="knockout_pts\Damian_knockout_pts.htm" xr:uid="{00000000-0004-0000-0000-0000BA000000}"/>
    <hyperlink ref="P124" r:id="rId188" display="knockout_pts\DanielM_knockout_pts.htm" xr:uid="{00000000-0004-0000-0000-0000BB000000}"/>
    <hyperlink ref="P136" r:id="rId189" display="knockout_pts\DannyL1_knockout_pts.htm" xr:uid="{00000000-0004-0000-0000-0000BC000000}"/>
    <hyperlink ref="P63" r:id="rId190" display="knockout_pts\DannyL3_knockout_pts.htm" xr:uid="{00000000-0004-0000-0000-0000BD000000}"/>
    <hyperlink ref="P50" r:id="rId191" display="knockout_pts\Darryll_knockout_pts.htm" xr:uid="{00000000-0004-0000-0000-0000BE000000}"/>
    <hyperlink ref="P125" r:id="rId192" display="knockout_pts\Daryl_knockout_pts.htm" xr:uid="{00000000-0004-0000-0000-0000BF000000}"/>
    <hyperlink ref="P149" r:id="rId193" display="knockout_pts\DannyRa_knockout_pts.htm" xr:uid="{00000000-0004-0000-0000-0000C0000000}"/>
    <hyperlink ref="P81" r:id="rId194" display="knockout_pts\DavidD_knockout_pts.htm" xr:uid="{00000000-0004-0000-0000-0000C1000000}"/>
    <hyperlink ref="P110" r:id="rId195" display="knockout_pts\Isaac_knockout_pts.htm" xr:uid="{00000000-0004-0000-0000-0000C2000000}"/>
    <hyperlink ref="R67" r:id="rId196" display="bonus_pts\Damian_bonus_pts.htm" xr:uid="{00000000-0004-0000-0000-0000C3000000}"/>
    <hyperlink ref="R124" r:id="rId197" display="bonus_pts\DanielM_bonus_pts.htm" xr:uid="{00000000-0004-0000-0000-0000C4000000}"/>
    <hyperlink ref="R136" r:id="rId198" display="bonus_pts\DannyL1_bonus_pts.htm" xr:uid="{00000000-0004-0000-0000-0000C5000000}"/>
    <hyperlink ref="R63" r:id="rId199" display="bonus_pts\DannyL3_bonus_pts.htm" xr:uid="{00000000-0004-0000-0000-0000C6000000}"/>
    <hyperlink ref="R50" r:id="rId200" display="bonus_pts\Darryll_bonus_pts.htm" xr:uid="{00000000-0004-0000-0000-0000C7000000}"/>
    <hyperlink ref="R125" r:id="rId201" display="bonus_pts\Daryl_bonus_pts.htm" xr:uid="{00000000-0004-0000-0000-0000C8000000}"/>
    <hyperlink ref="R149" r:id="rId202" display="bonus_pts\DannyRa_bonus_pts.htm" xr:uid="{00000000-0004-0000-0000-0000C9000000}"/>
    <hyperlink ref="R81" r:id="rId203" display="bonus_pts\DavidD_bonus_pts.htm" xr:uid="{00000000-0004-0000-0000-0000CA000000}"/>
    <hyperlink ref="R110" r:id="rId204" display="bonus_pts\Isaac_bonus_pts.htm" xr:uid="{00000000-0004-0000-0000-0000CB000000}"/>
    <hyperlink ref="L179" r:id="rId205" xr:uid="{00000000-0004-0000-0000-0000CC000000}"/>
    <hyperlink ref="L43" r:id="rId206" xr:uid="{00000000-0004-0000-0000-0000CD000000}"/>
    <hyperlink ref="L46" r:id="rId207" xr:uid="{00000000-0004-0000-0000-0000CE000000}"/>
    <hyperlink ref="L58" r:id="rId208" xr:uid="{00000000-0004-0000-0000-0000CF000000}"/>
    <hyperlink ref="L186" r:id="rId209" xr:uid="{00000000-0004-0000-0000-0000D0000000}"/>
    <hyperlink ref="O179" r:id="rId210" display="group_pts\KevinC_group_pts.htm" xr:uid="{00000000-0004-0000-0000-0000D1000000}"/>
    <hyperlink ref="O43" r:id="rId211" display="group_pts\Jake_group_pts.htm" xr:uid="{00000000-0004-0000-0000-0000D2000000}"/>
    <hyperlink ref="O46" r:id="rId212" display="group_pts\DougM_group_pts.htm" xr:uid="{00000000-0004-0000-0000-0000D3000000}"/>
    <hyperlink ref="O58" r:id="rId213" display="group_pts\Dashiel_group_pts.htm" xr:uid="{00000000-0004-0000-0000-0000D4000000}"/>
    <hyperlink ref="O186" r:id="rId214" display="group_pts\DavidM_group_pts.htm" xr:uid="{00000000-0004-0000-0000-0000D5000000}"/>
    <hyperlink ref="P179" r:id="rId215" display="knockout_pts\KevinC_knockout_pts.htm" xr:uid="{00000000-0004-0000-0000-0000D6000000}"/>
    <hyperlink ref="P43" r:id="rId216" display="knockout_pts\Jake_knockout_pts.htm" xr:uid="{00000000-0004-0000-0000-0000D7000000}"/>
    <hyperlink ref="P46" r:id="rId217" display="knockout_pts\DougM_knockout_pts.htm" xr:uid="{00000000-0004-0000-0000-0000D8000000}"/>
    <hyperlink ref="P58" r:id="rId218" display="knockout_pts\Dashiel_knockout_pts.htm" xr:uid="{00000000-0004-0000-0000-0000D9000000}"/>
    <hyperlink ref="P186" r:id="rId219" display="knockout_pts\DavidM_knockout_pts.htm" xr:uid="{00000000-0004-0000-0000-0000DA000000}"/>
    <hyperlink ref="R46" r:id="rId220" display="bonus_pts\DougM_bonus_pts.htm" xr:uid="{00000000-0004-0000-0000-0000DB000000}"/>
    <hyperlink ref="R58" r:id="rId221" display="bonus_pts\Dashiel_bonus_pts.htm" xr:uid="{00000000-0004-0000-0000-0000DC000000}"/>
    <hyperlink ref="L41" r:id="rId222" xr:uid="{00000000-0004-0000-0000-0000DD000000}"/>
    <hyperlink ref="O41" r:id="rId223" display="group_pts\MatthewS1_group_pts.htm" xr:uid="{00000000-0004-0000-0000-0000DE000000}"/>
    <hyperlink ref="P41" r:id="rId224" display="knockout_pts\MatthewS1_knockout_pts.htm" xr:uid="{00000000-0004-0000-0000-0000DF000000}"/>
    <hyperlink ref="R41" r:id="rId225" display="bonus_pts\MatthewS1_bonus_pts.htm" xr:uid="{00000000-0004-0000-0000-0000E0000000}"/>
    <hyperlink ref="L160" r:id="rId226" xr:uid="{00000000-0004-0000-0000-0000E1000000}"/>
    <hyperlink ref="L99" r:id="rId227" xr:uid="{00000000-0004-0000-0000-0000E2000000}"/>
    <hyperlink ref="O160" r:id="rId228" display="group_pts\Eduardo_group_pts.htm" xr:uid="{00000000-0004-0000-0000-0000E3000000}"/>
    <hyperlink ref="O99" r:id="rId229" display="group_pts\EdwardL_group_pts.htm" xr:uid="{00000000-0004-0000-0000-0000E4000000}"/>
    <hyperlink ref="P160" r:id="rId230" display="knockout_pts\Eduardo_knockout_pts.htm" xr:uid="{00000000-0004-0000-0000-0000E5000000}"/>
    <hyperlink ref="P99" r:id="rId231" display="knockout_pts\EdwardL_knockout_pts.htm" xr:uid="{00000000-0004-0000-0000-0000E6000000}"/>
    <hyperlink ref="R99" r:id="rId232" display="bonus_pts\EdwardL_bonus_pts.htm" xr:uid="{00000000-0004-0000-0000-0000E7000000}"/>
    <hyperlink ref="L178" r:id="rId233" xr:uid="{00000000-0004-0000-0000-0000E8000000}"/>
    <hyperlink ref="L121" r:id="rId234" xr:uid="{00000000-0004-0000-0000-0000E9000000}"/>
    <hyperlink ref="L78" r:id="rId235" xr:uid="{00000000-0004-0000-0000-0000EA000000}"/>
    <hyperlink ref="L40" r:id="rId236" xr:uid="{00000000-0004-0000-0000-0000EB000000}"/>
    <hyperlink ref="L22" r:id="rId237" xr:uid="{00000000-0004-0000-0000-0000EC000000}"/>
    <hyperlink ref="L61" r:id="rId238" xr:uid="{00000000-0004-0000-0000-0000ED000000}"/>
    <hyperlink ref="O178" r:id="rId239" display="group_pts\Elizabeth_group_pts.htm" xr:uid="{00000000-0004-0000-0000-0000EE000000}"/>
    <hyperlink ref="O121" r:id="rId240" display="group_pts\DougK_group_pts.htm" xr:uid="{00000000-0004-0000-0000-0000EF000000}"/>
    <hyperlink ref="O78" r:id="rId241" display="group_pts\Fawzi_group_pts.htm" xr:uid="{00000000-0004-0000-0000-0000F0000000}"/>
    <hyperlink ref="O40" r:id="rId242" display="group_pts\Fernando_group_pts.htm" xr:uid="{00000000-0004-0000-0000-0000F1000000}"/>
    <hyperlink ref="O22" r:id="rId243" display="group_pts\FrankC_group_pts.htm" xr:uid="{00000000-0004-0000-0000-0000F2000000}"/>
    <hyperlink ref="O61" r:id="rId244" display="group_pts\FrankD1_group_pts.htm" xr:uid="{00000000-0004-0000-0000-0000F3000000}"/>
    <hyperlink ref="P178" r:id="rId245" display="knockout_pts\Elizabeth_knockout_pts.htm" xr:uid="{00000000-0004-0000-0000-0000F4000000}"/>
    <hyperlink ref="P121" r:id="rId246" display="knockout_pts\DougK_knockout_pts.htm" xr:uid="{00000000-0004-0000-0000-0000F5000000}"/>
    <hyperlink ref="P78" r:id="rId247" display="knockout_pts\Fawzi_knockout_pts.htm" xr:uid="{00000000-0004-0000-0000-0000F6000000}"/>
    <hyperlink ref="P40" r:id="rId248" display="knockout_pts\Fernando_knockout_pts.htm" xr:uid="{00000000-0004-0000-0000-0000F7000000}"/>
    <hyperlink ref="P22" r:id="rId249" display="knockout_pts\FrankC_knockout_pts.htm" xr:uid="{00000000-0004-0000-0000-0000F8000000}"/>
    <hyperlink ref="P61" r:id="rId250" display="knockout_pts\FrankD1_knockout_pts.htm" xr:uid="{00000000-0004-0000-0000-0000F9000000}"/>
    <hyperlink ref="R121" r:id="rId251" display="bonus_pts\DougK_bonus_pts.htm" xr:uid="{00000000-0004-0000-0000-0000FA000000}"/>
    <hyperlink ref="R40" r:id="rId252" display="bonus_pts\Fernando_bonus_pts.htm" xr:uid="{00000000-0004-0000-0000-0000FB000000}"/>
    <hyperlink ref="R22" r:id="rId253" display="bonus_pts\FrankC_bonus_pts.htm" xr:uid="{00000000-0004-0000-0000-0000FC000000}"/>
    <hyperlink ref="R61" r:id="rId254" display="bonus_pts\FrankD1_bonus_pts.htm" xr:uid="{00000000-0004-0000-0000-0000FD000000}"/>
    <hyperlink ref="L151" r:id="rId255" xr:uid="{00000000-0004-0000-0000-0000FE000000}"/>
    <hyperlink ref="L20" r:id="rId256" xr:uid="{00000000-0004-0000-0000-0000FF000000}"/>
    <hyperlink ref="L69" r:id="rId257" xr:uid="{00000000-0004-0000-0000-000000010000}"/>
    <hyperlink ref="L171" r:id="rId258" xr:uid="{00000000-0004-0000-0000-000001010000}"/>
    <hyperlink ref="L133" r:id="rId259" xr:uid="{00000000-0004-0000-0000-000002010000}"/>
    <hyperlink ref="L170" r:id="rId260" xr:uid="{00000000-0004-0000-0000-000003010000}"/>
    <hyperlink ref="L30" r:id="rId261" xr:uid="{00000000-0004-0000-0000-000004010000}"/>
    <hyperlink ref="L156" r:id="rId262" xr:uid="{00000000-0004-0000-0000-000005010000}"/>
    <hyperlink ref="L38" r:id="rId263" xr:uid="{00000000-0004-0000-0000-000006010000}"/>
    <hyperlink ref="O151" r:id="rId264" display="group_pts\Joanna_group_pts.htm" xr:uid="{00000000-0004-0000-0000-000007010000}"/>
    <hyperlink ref="O20" r:id="rId265" display="group_pts\Gary_group_pts.htm" xr:uid="{00000000-0004-0000-0000-000008010000}"/>
    <hyperlink ref="O69" r:id="rId266" display="group_pts\Dragon_group_pts.htm" xr:uid="{00000000-0004-0000-0000-000009010000}"/>
    <hyperlink ref="O171" r:id="rId267" display="group_pts\Heather_group_pts.htm" xr:uid="{00000000-0004-0000-0000-00000A010000}"/>
    <hyperlink ref="O133" r:id="rId268" display="group_pts\HelderA_group_pts.htm" xr:uid="{00000000-0004-0000-0000-00000B010000}"/>
    <hyperlink ref="O170" r:id="rId269" display="group_pts\Hernani_group_pts.htm" xr:uid="{00000000-0004-0000-0000-00000C010000}"/>
    <hyperlink ref="O30" r:id="rId270" display="group_pts\Igor_group_pts.htm" xr:uid="{00000000-0004-0000-0000-00000D010000}"/>
    <hyperlink ref="O156" r:id="rId271" display="group_pts\EricK_group_pts.htm" xr:uid="{00000000-0004-0000-0000-00000E010000}"/>
    <hyperlink ref="O38" r:id="rId272" display="group_pts\MatthewS3_group_pts.htm" xr:uid="{00000000-0004-0000-0000-00000F010000}"/>
    <hyperlink ref="P151" r:id="rId273" display="knockout_pts\Joanna_knockout_pts.htm" xr:uid="{00000000-0004-0000-0000-000010010000}"/>
    <hyperlink ref="P20" r:id="rId274" display="knockout_pts\Gary_knockout_pts.htm" xr:uid="{00000000-0004-0000-0000-000011010000}"/>
    <hyperlink ref="P69" r:id="rId275" display="knockout_pts\Dragon_knockout_pts.htm" xr:uid="{00000000-0004-0000-0000-000012010000}"/>
    <hyperlink ref="P171" r:id="rId276" display="knockout_pts\Heather_knockout_pts.htm" xr:uid="{00000000-0004-0000-0000-000013010000}"/>
    <hyperlink ref="P133" r:id="rId277" display="knockout_pts\HelderA_knockout_pts.htm" xr:uid="{00000000-0004-0000-0000-000014010000}"/>
    <hyperlink ref="P170" r:id="rId278" display="knockout_pts\Hernani_knockout_pts.htm" xr:uid="{00000000-0004-0000-0000-000015010000}"/>
    <hyperlink ref="P30" r:id="rId279" display="knockout_pts\Igor_knockout_pts.htm" xr:uid="{00000000-0004-0000-0000-000016010000}"/>
    <hyperlink ref="P156" r:id="rId280" display="knockout_pts\EricK_knockout_pts.htm" xr:uid="{00000000-0004-0000-0000-000017010000}"/>
    <hyperlink ref="P38" r:id="rId281" display="knockout_pts\MatthewS3_knockout_pts.htm" xr:uid="{00000000-0004-0000-0000-000018010000}"/>
    <hyperlink ref="R20" r:id="rId282" display="bonus_pts\Gary_bonus_pts.htm" xr:uid="{00000000-0004-0000-0000-000019010000}"/>
    <hyperlink ref="R69" r:id="rId283" display="bonus_pts\Dragon_bonus_pts.htm" xr:uid="{00000000-0004-0000-0000-00001A010000}"/>
    <hyperlink ref="R133" r:id="rId284" display="bonus_pts\HelderA_bonus_pts.htm" xr:uid="{00000000-0004-0000-0000-00001B010000}"/>
    <hyperlink ref="R170" r:id="rId285" display="bonus_pts\Hernani_bonus_pts.htm" xr:uid="{00000000-0004-0000-0000-00001C010000}"/>
    <hyperlink ref="R156" r:id="rId286" display="bonus_pts\EricK_bonus_pts.htm" xr:uid="{00000000-0004-0000-0000-00001D010000}"/>
    <hyperlink ref="R38" r:id="rId287" display="bonus_pts\MatthewS3_bonus_pts.htm" xr:uid="{00000000-0004-0000-0000-00001E010000}"/>
    <hyperlink ref="L150" r:id="rId288" xr:uid="{00000000-0004-0000-0000-00001F010000}"/>
    <hyperlink ref="L45" r:id="rId289" xr:uid="{00000000-0004-0000-0000-000020010000}"/>
    <hyperlink ref="L86" r:id="rId290" xr:uid="{00000000-0004-0000-0000-000021010000}"/>
    <hyperlink ref="L153" r:id="rId291" xr:uid="{00000000-0004-0000-0000-000022010000}"/>
    <hyperlink ref="L114" r:id="rId292" xr:uid="{00000000-0004-0000-0000-000023010000}"/>
    <hyperlink ref="L51" r:id="rId293" xr:uid="{00000000-0004-0000-0000-000024010000}"/>
    <hyperlink ref="O150" r:id="rId294" display="group_pts\Forbes_group_pts.htm" xr:uid="{00000000-0004-0000-0000-000025010000}"/>
    <hyperlink ref="O45" r:id="rId295" display="group_pts\FrankI_group_pts.htm" xr:uid="{00000000-0004-0000-0000-000026010000}"/>
    <hyperlink ref="O86" r:id="rId296" display="group_pts\Janelle_group_pts.htm" xr:uid="{00000000-0004-0000-0000-000027010000}"/>
    <hyperlink ref="O153" r:id="rId297" display="group_pts\Jeannette_group_pts.htm" xr:uid="{00000000-0004-0000-0000-000028010000}"/>
    <hyperlink ref="O114" r:id="rId298" display="group_pts\JeffB_group_pts.htm" xr:uid="{00000000-0004-0000-0000-000029010000}"/>
    <hyperlink ref="O51" r:id="rId299" display="group_pts\Gabriela_group_pts.htm" xr:uid="{00000000-0004-0000-0000-00002A010000}"/>
    <hyperlink ref="P150" r:id="rId300" display="knockout_pts\Forbes_knockout_pts.htm" xr:uid="{00000000-0004-0000-0000-00002B010000}"/>
    <hyperlink ref="P45" r:id="rId301" display="knockout_pts\FrankI_knockout_pts.htm" xr:uid="{00000000-0004-0000-0000-00002C010000}"/>
    <hyperlink ref="P86" r:id="rId302" display="knockout_pts\Janelle_knockout_pts.htm" xr:uid="{00000000-0004-0000-0000-00002D010000}"/>
    <hyperlink ref="P153" r:id="rId303" display="knockout_pts\Jeannette_knockout_pts.htm" xr:uid="{00000000-0004-0000-0000-00002E010000}"/>
    <hyperlink ref="P114" r:id="rId304" display="knockout_pts\JeffB_knockout_pts.htm" xr:uid="{00000000-0004-0000-0000-00002F010000}"/>
    <hyperlink ref="P51" r:id="rId305" display="knockout_pts\Gabriela_knockout_pts.htm" xr:uid="{00000000-0004-0000-0000-000030010000}"/>
    <hyperlink ref="R45" r:id="rId306" display="bonus_pts\FrankI_bonus_pts.htm" xr:uid="{00000000-0004-0000-0000-000031010000}"/>
    <hyperlink ref="R153" r:id="rId307" display="bonus_pts\Jeannette_bonus_pts.htm" xr:uid="{00000000-0004-0000-0000-000032010000}"/>
    <hyperlink ref="R114" r:id="rId308" display="bonus_pts\JeffB_bonus_pts.htm" xr:uid="{00000000-0004-0000-0000-000033010000}"/>
    <hyperlink ref="L21" r:id="rId309" xr:uid="{00000000-0004-0000-0000-000034010000}"/>
    <hyperlink ref="L97" r:id="rId310" xr:uid="{00000000-0004-0000-0000-000035010000}"/>
    <hyperlink ref="O21" r:id="rId311" display="group_pts\MichaelL_group_pts.htm" xr:uid="{00000000-0004-0000-0000-000036010000}"/>
    <hyperlink ref="O97" r:id="rId312" display="group_pts\JeffS_group_pts.htm" xr:uid="{00000000-0004-0000-0000-000037010000}"/>
    <hyperlink ref="P21" r:id="rId313" display="knockout_pts\MichaelL_knockout_pts.htm" xr:uid="{00000000-0004-0000-0000-000038010000}"/>
    <hyperlink ref="P97" r:id="rId314" display="knockout_pts\JeffS_knockout_pts.htm" xr:uid="{00000000-0004-0000-0000-000039010000}"/>
    <hyperlink ref="R21" r:id="rId315" display="bonus_pts\MichaelL_bonus_pts.htm" xr:uid="{00000000-0004-0000-0000-00003A010000}"/>
    <hyperlink ref="R97" r:id="rId316" display="bonus_pts\JeffS_bonus_pts.htm" xr:uid="{00000000-0004-0000-0000-00003B010000}"/>
    <hyperlink ref="L95" r:id="rId317" xr:uid="{00000000-0004-0000-0000-00003C010000}"/>
    <hyperlink ref="O95" r:id="rId318" display="group_pts\Ricardo_group_pts.htm" xr:uid="{00000000-0004-0000-0000-00003D010000}"/>
    <hyperlink ref="P95" r:id="rId319" display="knockout_pts\Ricardo_knockout_pts.htm" xr:uid="{00000000-0004-0000-0000-00003E010000}"/>
    <hyperlink ref="R95" r:id="rId320" display="bonus_pts\Ricardo_bonus_pts.htm" xr:uid="{00000000-0004-0000-0000-00003F010000}"/>
    <hyperlink ref="L68" r:id="rId321" xr:uid="{00000000-0004-0000-0000-000040010000}"/>
    <hyperlink ref="L100" r:id="rId322" xr:uid="{00000000-0004-0000-0000-000041010000}"/>
    <hyperlink ref="L103" r:id="rId323" display="JohnO" xr:uid="{00000000-0004-0000-0000-000042010000}"/>
    <hyperlink ref="L135" r:id="rId324" xr:uid="{00000000-0004-0000-0000-000043010000}"/>
    <hyperlink ref="L118" r:id="rId325" xr:uid="{00000000-0004-0000-0000-000044010000}"/>
    <hyperlink ref="L87" r:id="rId326" xr:uid="{00000000-0004-0000-0000-000045010000}"/>
    <hyperlink ref="L184" r:id="rId327" xr:uid="{00000000-0004-0000-0000-000046010000}"/>
    <hyperlink ref="L189" r:id="rId328" xr:uid="{00000000-0004-0000-0000-000047010000}"/>
    <hyperlink ref="O68" r:id="rId329" display="group_pts\Grosso_group_pts.htm" xr:uid="{00000000-0004-0000-0000-000048010000}"/>
    <hyperlink ref="O100" r:id="rId330" display="group_pts\Helio_group_pts.htm" xr:uid="{00000000-0004-0000-0000-000049010000}"/>
    <hyperlink ref="O103" r:id="rId331" display="group_pts\Hugo_group_pts.htm" xr:uid="{00000000-0004-0000-0000-00004A010000}"/>
    <hyperlink ref="O135" r:id="rId332" display="group_pts\JohnR_group_pts.htm" xr:uid="{00000000-0004-0000-0000-00004B010000}"/>
    <hyperlink ref="O118" r:id="rId333" display="group_pts\Ian_group_pts.htm" xr:uid="{00000000-0004-0000-0000-00004C010000}"/>
    <hyperlink ref="O87" r:id="rId334" display="group_pts\Jennifer_group_pts.htm" xr:uid="{00000000-0004-0000-0000-00004D010000}"/>
    <hyperlink ref="O184" r:id="rId335" display="group_pts\JorgeC_group_pts.htm" xr:uid="{00000000-0004-0000-0000-00004E010000}"/>
    <hyperlink ref="O189" r:id="rId336" display="group_pts\Joao_group_pts.htm" xr:uid="{00000000-0004-0000-0000-00004F010000}"/>
    <hyperlink ref="P68" r:id="rId337" display="knockout_pts\Grosso_knockout_pts.htm" xr:uid="{00000000-0004-0000-0000-000050010000}"/>
    <hyperlink ref="P100" r:id="rId338" display="knockout_pts\Helio_knockout_pts.htm" xr:uid="{00000000-0004-0000-0000-000051010000}"/>
    <hyperlink ref="P103" r:id="rId339" display="knockout_pts\Hugo_knockout_pts.htm" xr:uid="{00000000-0004-0000-0000-000052010000}"/>
    <hyperlink ref="P135" r:id="rId340" display="knockout_pts\JohnR_knockout_pts.htm" xr:uid="{00000000-0004-0000-0000-000053010000}"/>
    <hyperlink ref="P118" r:id="rId341" display="knockout_pts\Ian_knockout_pts.htm" xr:uid="{00000000-0004-0000-0000-000054010000}"/>
    <hyperlink ref="P87" r:id="rId342" display="knockout_pts\Jennifer_knockout_pts.htm" xr:uid="{00000000-0004-0000-0000-000055010000}"/>
    <hyperlink ref="P184" r:id="rId343" display="knockout_pts\JorgeC_knockout_pts.htm" xr:uid="{00000000-0004-0000-0000-000056010000}"/>
    <hyperlink ref="P189" r:id="rId344" display="knockout_pts\Joao_knockout_pts.htm" xr:uid="{00000000-0004-0000-0000-000057010000}"/>
    <hyperlink ref="R100" r:id="rId345" display="bonus_pts\Helio_bonus_pts.htm" xr:uid="{00000000-0004-0000-0000-000058010000}"/>
    <hyperlink ref="R103" r:id="rId346" display="bonus_pts\Hugo_bonus_pts.htm" xr:uid="{00000000-0004-0000-0000-000059010000}"/>
    <hyperlink ref="R118" r:id="rId347" display="bonus_pts\Ian_bonus_pts.htm" xr:uid="{00000000-0004-0000-0000-00005A010000}"/>
    <hyperlink ref="R87" r:id="rId348" display="bonus_pts\Jennifer_bonus_pts.htm" xr:uid="{00000000-0004-0000-0000-00005B010000}"/>
    <hyperlink ref="R184" r:id="rId349" display="bonus_pts\JorgeC_bonus_pts.htm" xr:uid="{00000000-0004-0000-0000-00005C010000}"/>
    <hyperlink ref="R189" r:id="rId350" display="bonus_pts\Joao_bonus_pts.htm" xr:uid="{00000000-0004-0000-0000-00005D010000}"/>
    <hyperlink ref="L49" r:id="rId351" xr:uid="{00000000-0004-0000-0000-00005E010000}"/>
    <hyperlink ref="O49" r:id="rId352" display="group_pts\Josh_group_pts.htm" xr:uid="{00000000-0004-0000-0000-00005F010000}"/>
    <hyperlink ref="P49" r:id="rId353" display="knockout_pts\Josh_knockout_pts.htm" xr:uid="{00000000-0004-0000-0000-000060010000}"/>
    <hyperlink ref="R49" r:id="rId354" display="bonus_pts\Josh_bonus_pts.htm" xr:uid="{00000000-0004-0000-0000-000061010000}"/>
    <hyperlink ref="L102" r:id="rId355" xr:uid="{00000000-0004-0000-0000-000062010000}"/>
    <hyperlink ref="O102" r:id="rId356" display="group_pts\KevinJ_group_pts.htm" xr:uid="{00000000-0004-0000-0000-000063010000}"/>
    <hyperlink ref="P102" r:id="rId357" display="knockout_pts\KevinJ_knockout_pts.htm" xr:uid="{00000000-0004-0000-0000-000064010000}"/>
    <hyperlink ref="R102" r:id="rId358" display="bonus_pts\KevinJ_bonus_pts.htm" xr:uid="{00000000-0004-0000-0000-000065010000}"/>
    <hyperlink ref="L146" r:id="rId359" xr:uid="{00000000-0004-0000-0000-000066010000}"/>
    <hyperlink ref="O146" r:id="rId360" display="group_pts\JohnC_group_pts.htm" xr:uid="{00000000-0004-0000-0000-000067010000}"/>
    <hyperlink ref="P146" r:id="rId361" display="knockout_pts\JohnC_knockout_pts.htm" xr:uid="{00000000-0004-0000-0000-000068010000}"/>
    <hyperlink ref="R146" r:id="rId362" display="bonus_pts\JohnC_bonus_pts.htm" xr:uid="{00000000-0004-0000-0000-000069010000}"/>
    <hyperlink ref="L72" r:id="rId363" xr:uid="{00000000-0004-0000-0000-00006A010000}"/>
    <hyperlink ref="O72" r:id="rId364" display="group_pts\Kristian_group_pts.htm" xr:uid="{00000000-0004-0000-0000-00006B010000}"/>
    <hyperlink ref="P72" r:id="rId365" display="knockout_pts\Kristian_knockout_pts.htm" xr:uid="{00000000-0004-0000-0000-00006C010000}"/>
    <hyperlink ref="R72" r:id="rId366" display="bonus_pts\Kristian_bonus_pts.htm" xr:uid="{00000000-0004-0000-0000-00006D010000}"/>
    <hyperlink ref="L159" r:id="rId367" xr:uid="{00000000-0004-0000-0000-00006E010000}"/>
    <hyperlink ref="O159" r:id="rId368" display="group_pts\Kumar_group_pts.htm" xr:uid="{00000000-0004-0000-0000-00006F010000}"/>
    <hyperlink ref="P159" r:id="rId369" display="knockout_pts\Kumar_knockout_pts.htm" xr:uid="{00000000-0004-0000-0000-000070010000}"/>
    <hyperlink ref="R159" r:id="rId370" display="bonus_pts\Kumar_bonus_pts.htm" xr:uid="{00000000-0004-0000-0000-000071010000}"/>
    <hyperlink ref="O94" r:id="rId371" display="group_pts\Kyle_group_pts.htm" xr:uid="{00000000-0004-0000-0000-000072010000}"/>
    <hyperlink ref="P94" r:id="rId372" display="knockout_pts\Kyle_knockout_pts.htm" xr:uid="{00000000-0004-0000-0000-000073010000}"/>
    <hyperlink ref="R94" r:id="rId373" display="bonus_pts\Kyle_bonus_pts.htm" xr:uid="{00000000-0004-0000-0000-000074010000}"/>
    <hyperlink ref="L92" r:id="rId374" xr:uid="{00000000-0004-0000-0000-000075010000}"/>
    <hyperlink ref="O92" r:id="rId375" display="group_pts\Magno_group_pts.htm" xr:uid="{00000000-0004-0000-0000-000076010000}"/>
    <hyperlink ref="P92" r:id="rId376" display="knockout_pts\Magno_knockout_pts.htm" xr:uid="{00000000-0004-0000-0000-000077010000}"/>
    <hyperlink ref="R92" r:id="rId377" display="bonus_pts\Magno_bonus_pts.htm" xr:uid="{00000000-0004-0000-0000-000078010000}"/>
    <hyperlink ref="L94" r:id="rId378" xr:uid="{00000000-0004-0000-0000-000079010000}"/>
    <hyperlink ref="L141" r:id="rId379" xr:uid="{00000000-0004-0000-0000-00007A010000}"/>
    <hyperlink ref="L91" r:id="rId380" xr:uid="{00000000-0004-0000-0000-00007B010000}"/>
    <hyperlink ref="L174" r:id="rId381" xr:uid="{00000000-0004-0000-0000-00007C010000}"/>
    <hyperlink ref="L32" r:id="rId382" xr:uid="{00000000-0004-0000-0000-00007D010000}"/>
    <hyperlink ref="L163" r:id="rId383" xr:uid="{00000000-0004-0000-0000-00007E010000}"/>
    <hyperlink ref="L194" r:id="rId384" xr:uid="{00000000-0004-0000-0000-00007F010000}"/>
    <hyperlink ref="L190" r:id="rId385" xr:uid="{00000000-0004-0000-0000-000080010000}"/>
    <hyperlink ref="L198" r:id="rId386" xr:uid="{00000000-0004-0000-0000-000081010000}"/>
    <hyperlink ref="L139" r:id="rId387" xr:uid="{00000000-0004-0000-0000-000082010000}"/>
    <hyperlink ref="L65" r:id="rId388" xr:uid="{00000000-0004-0000-0000-000083010000}"/>
    <hyperlink ref="L79" r:id="rId389" xr:uid="{00000000-0004-0000-0000-000084010000}"/>
    <hyperlink ref="O141" r:id="rId390" display="group_pts\Major_group_pts.htm" xr:uid="{00000000-0004-0000-0000-000085010000}"/>
    <hyperlink ref="O91" r:id="rId391" display="group_pts\Marcio_group_pts.htm" xr:uid="{00000000-0004-0000-0000-000086010000}"/>
    <hyperlink ref="O174" r:id="rId392" display="group_pts\JorgeT_group_pts.htm" xr:uid="{00000000-0004-0000-0000-000087010000}"/>
    <hyperlink ref="O32" r:id="rId393" display="group_pts\Maria_group_pts.htm" xr:uid="{00000000-0004-0000-0000-000088010000}"/>
    <hyperlink ref="O163" r:id="rId394" display="group_pts\Marta_group_pts.htm" xr:uid="{00000000-0004-0000-0000-000089010000}"/>
    <hyperlink ref="O194" r:id="rId395" display="group_pts\Stirling_group_pts.htm" xr:uid="{00000000-0004-0000-0000-00008A010000}"/>
    <hyperlink ref="O190" r:id="rId396" display="group_pts\MatthewM_group_pts.htm" xr:uid="{00000000-0004-0000-0000-00008B010000}"/>
    <hyperlink ref="O198" r:id="rId397" display="group_pts\FrankD2_group_pts.htm" xr:uid="{00000000-0004-0000-0000-00008C010000}"/>
    <hyperlink ref="O139" r:id="rId398" display="group_pts\JustinL_group_pts.htm" xr:uid="{00000000-0004-0000-0000-00008D010000}"/>
    <hyperlink ref="O65" r:id="rId399" display="group_pts\Lindsey_group_pts.htm" xr:uid="{00000000-0004-0000-0000-00008E010000}"/>
    <hyperlink ref="O79" r:id="rId400" display="group_pts\Luka_group_pts.htm" xr:uid="{00000000-0004-0000-0000-00008F010000}"/>
    <hyperlink ref="P141" r:id="rId401" display="knockout_pts\Major_knockout_pts.htm" xr:uid="{00000000-0004-0000-0000-000090010000}"/>
    <hyperlink ref="P91" r:id="rId402" display="knockout_pts\Marcio_knockout_pts.htm" xr:uid="{00000000-0004-0000-0000-000091010000}"/>
    <hyperlink ref="P174" r:id="rId403" display="knockout_pts\JorgeT_knockout_pts.htm" xr:uid="{00000000-0004-0000-0000-000092010000}"/>
    <hyperlink ref="P32" r:id="rId404" display="knockout_pts\Maria_knockout_pts.htm" xr:uid="{00000000-0004-0000-0000-000093010000}"/>
    <hyperlink ref="P163" r:id="rId405" display="knockout_pts\Marta_knockout_pts.htm" xr:uid="{00000000-0004-0000-0000-000094010000}"/>
    <hyperlink ref="P194" r:id="rId406" display="knockout_pts\Stirling_knockout_pts.htm" xr:uid="{00000000-0004-0000-0000-000095010000}"/>
    <hyperlink ref="P190" r:id="rId407" display="knockout_pts\MatthewM_knockout_pts.htm" xr:uid="{00000000-0004-0000-0000-000096010000}"/>
    <hyperlink ref="P198" r:id="rId408" display="knockout_pts\FrankD2_knockout_pts.htm" xr:uid="{00000000-0004-0000-0000-000097010000}"/>
    <hyperlink ref="P139" r:id="rId409" display="knockout_pts\JustinL_knockout_pts.htm" xr:uid="{00000000-0004-0000-0000-000098010000}"/>
    <hyperlink ref="P65" r:id="rId410" display="knockout_pts\Lindsey_knockout_pts.htm" xr:uid="{00000000-0004-0000-0000-000099010000}"/>
    <hyperlink ref="P79" r:id="rId411" display="knockout_pts\Luka_knockout_pts.htm" xr:uid="{00000000-0004-0000-0000-00009A010000}"/>
    <hyperlink ref="R141" r:id="rId412" display="bonus_pts\Major_bonus_pts.htm" xr:uid="{00000000-0004-0000-0000-00009B010000}"/>
    <hyperlink ref="R174" r:id="rId413" display="bonus_pts\JorgeT_bonus_pts.htm" xr:uid="{00000000-0004-0000-0000-00009C010000}"/>
    <hyperlink ref="R194" r:id="rId414" display="bonus_pts\Stirling_bonus_pts.htm" xr:uid="{00000000-0004-0000-0000-00009D010000}"/>
    <hyperlink ref="R190" r:id="rId415" display="bonus_pts\MatthewM_bonus_pts.htm" xr:uid="{00000000-0004-0000-0000-00009E010000}"/>
    <hyperlink ref="R139" r:id="rId416" display="bonus_pts\JustinL_bonus_pts.htm" xr:uid="{00000000-0004-0000-0000-00009F010000}"/>
    <hyperlink ref="R65" r:id="rId417" display="bonus_pts\Lindsey_bonus_pts.htm" xr:uid="{00000000-0004-0000-0000-0000A0010000}"/>
    <hyperlink ref="L88" r:id="rId418" xr:uid="{00000000-0004-0000-0000-0000A1010000}"/>
    <hyperlink ref="O88" r:id="rId419" display="group_pts\Stallone2_group_pts.htm" xr:uid="{00000000-0004-0000-0000-0000A2010000}"/>
    <hyperlink ref="P88" r:id="rId420" display="knockout_pts\Stallone2_knockout_pts.htm" xr:uid="{00000000-0004-0000-0000-0000A3010000}"/>
    <hyperlink ref="L24" r:id="rId421" xr:uid="{00000000-0004-0000-0000-0000A4010000}"/>
    <hyperlink ref="O24" r:id="rId422" display="group_pts\MikeD_group_pts.htm" xr:uid="{00000000-0004-0000-0000-0000A5010000}"/>
    <hyperlink ref="P24" r:id="rId423" display="knockout_pts\MikeD_knockout_pts.htm" xr:uid="{00000000-0004-0000-0000-0000A6010000}"/>
    <hyperlink ref="R24" r:id="rId424" display="bonus_pts\MikeD_bonus_pts.htm" xr:uid="{00000000-0004-0000-0000-0000A7010000}"/>
    <hyperlink ref="L168" r:id="rId425" xr:uid="{00000000-0004-0000-0000-0000A8010000}"/>
    <hyperlink ref="L166" r:id="rId426" xr:uid="{00000000-0004-0000-0000-0000A9010000}"/>
    <hyperlink ref="L52" r:id="rId427" xr:uid="{00000000-0004-0000-0000-0000AA010000}"/>
    <hyperlink ref="L182" r:id="rId428" xr:uid="{00000000-0004-0000-0000-0000AB010000}"/>
    <hyperlink ref="L82" r:id="rId429" xr:uid="{00000000-0004-0000-0000-0000AC010000}"/>
    <hyperlink ref="O168" r:id="rId430" display="group_pts\Veejay_group_pts.htm" xr:uid="{00000000-0004-0000-0000-0000AD010000}"/>
    <hyperlink ref="O166" r:id="rId431" display="group_pts\Mitchell_group_pts.htm" xr:uid="{00000000-0004-0000-0000-0000AE010000}"/>
    <hyperlink ref="O182" r:id="rId432" display="group_pts\Nas_group_pts.htm" xr:uid="{00000000-0004-0000-0000-0000AF010000}"/>
    <hyperlink ref="O82" r:id="rId433" display="group_pts\NelsonP_group_pts.htm" xr:uid="{00000000-0004-0000-0000-0000B0010000}"/>
    <hyperlink ref="P168" r:id="rId434" display="knockout_pts\Veejay_knockout_pts.htm" xr:uid="{00000000-0004-0000-0000-0000B1010000}"/>
    <hyperlink ref="P166" r:id="rId435" display="knockout_pts\Mitchell_knockout_pts.htm" xr:uid="{00000000-0004-0000-0000-0000B2010000}"/>
    <hyperlink ref="P52" r:id="rId436" display="knockout_pts\Nancy_knockout_pts.htm" xr:uid="{00000000-0004-0000-0000-0000B3010000}"/>
    <hyperlink ref="P182" r:id="rId437" display="knockout_pts\Nas_knockout_pts.htm" xr:uid="{00000000-0004-0000-0000-0000B4010000}"/>
    <hyperlink ref="P82" r:id="rId438" display="knockout_pts\NelsonP_knockout_pts.htm" xr:uid="{00000000-0004-0000-0000-0000B5010000}"/>
    <hyperlink ref="R168" r:id="rId439" display="bonus_pts\Veejay_bonus_pts.htm" xr:uid="{00000000-0004-0000-0000-0000B6010000}"/>
    <hyperlink ref="R166" r:id="rId440" display="bonus_pts\Mitchell_bonus_pts.htm" xr:uid="{00000000-0004-0000-0000-0000B7010000}"/>
    <hyperlink ref="R52" r:id="rId441" display="bonus_pts\Nancy_bonus_pts.htm" xr:uid="{00000000-0004-0000-0000-0000B8010000}"/>
    <hyperlink ref="R182" r:id="rId442" display="bonus_pts\Nas_bonus_pts.htm" xr:uid="{00000000-0004-0000-0000-0000B9010000}"/>
    <hyperlink ref="L144" r:id="rId443" xr:uid="{00000000-0004-0000-0000-0000BA010000}"/>
    <hyperlink ref="O144" r:id="rId444" display="group_pts\RichardMa1_group_pts.htm" xr:uid="{00000000-0004-0000-0000-0000BB010000}"/>
    <hyperlink ref="P144" r:id="rId445" display="knockout_pts\RichardMa1_knockout_pts.htm" xr:uid="{00000000-0004-0000-0000-0000BC010000}"/>
    <hyperlink ref="R144" r:id="rId446" display="bonus_pts\RichardMa1_bonus_pts.htm" xr:uid="{00000000-0004-0000-0000-0000BD010000}"/>
    <hyperlink ref="L175" r:id="rId447" xr:uid="{00000000-0004-0000-0000-0000BE010000}"/>
    <hyperlink ref="O175" r:id="rId448" display="group_pts\PabloL_group_pts.htm" xr:uid="{00000000-0004-0000-0000-0000BF010000}"/>
    <hyperlink ref="P175" r:id="rId449" display="knockout_pts\PabloL_knockout_pts.htm" xr:uid="{00000000-0004-0000-0000-0000C0010000}"/>
    <hyperlink ref="R175" r:id="rId450" display="bonus_pts\PabloL_bonus_pts.htm" xr:uid="{00000000-0004-0000-0000-0000C1010000}"/>
    <hyperlink ref="L145" r:id="rId451" xr:uid="{00000000-0004-0000-0000-0000C2010000}"/>
    <hyperlink ref="O145" r:id="rId452" display="group_pts\Riyad_group_pts.htm" xr:uid="{00000000-0004-0000-0000-0000C3010000}"/>
    <hyperlink ref="P145" r:id="rId453" display="knockout_pts\Riyad_knockout_pts.htm" xr:uid="{00000000-0004-0000-0000-0000C4010000}"/>
    <hyperlink ref="R145" r:id="rId454" display="bonus_pts\Riyad_bonus_pts.htm" xr:uid="{00000000-0004-0000-0000-0000C5010000}"/>
    <hyperlink ref="L84" r:id="rId455" xr:uid="{00000000-0004-0000-0000-0000C6010000}"/>
    <hyperlink ref="O84" r:id="rId456" display="group_pts\Pardeep_group_pts.htm" xr:uid="{00000000-0004-0000-0000-0000C7010000}"/>
    <hyperlink ref="P84" r:id="rId457" display="knockout_pts\Pardeep_knockout_pts.htm" xr:uid="{00000000-0004-0000-0000-0000C8010000}"/>
    <hyperlink ref="R84" r:id="rId458" display="bonus_pts\Pardeep_bonus_pts.htm" xr:uid="{00000000-0004-0000-0000-0000C9010000}"/>
    <hyperlink ref="L37" r:id="rId459" xr:uid="{00000000-0004-0000-0000-0000CA010000}"/>
    <hyperlink ref="O37" r:id="rId460" display="group_pts\RobSi_group_pts.htm" xr:uid="{00000000-0004-0000-0000-0000CB010000}"/>
    <hyperlink ref="P37" r:id="rId461" display="knockout_pts\RobSi_knockout_pts.htm" xr:uid="{00000000-0004-0000-0000-0000CC010000}"/>
    <hyperlink ref="R37" r:id="rId462" display="bonus_pts\RobSi_bonus_pts.htm" xr:uid="{00000000-0004-0000-0000-0000CD010000}"/>
    <hyperlink ref="L115" r:id="rId463" xr:uid="{00000000-0004-0000-0000-0000CE010000}"/>
    <hyperlink ref="O115" r:id="rId464" display="group_pts\RobT_group_pts.htm" xr:uid="{00000000-0004-0000-0000-0000CF010000}"/>
    <hyperlink ref="P115" r:id="rId465" display="knockout_pts\RobT_knockout_pts.htm" xr:uid="{00000000-0004-0000-0000-0000D0010000}"/>
    <hyperlink ref="R115" r:id="rId466" display="bonus_pts\RobT_bonus_pts.htm" xr:uid="{00000000-0004-0000-0000-0000D1010000}"/>
    <hyperlink ref="L126" r:id="rId467" xr:uid="{00000000-0004-0000-0000-0000D2010000}"/>
    <hyperlink ref="O126" r:id="rId468" display="group_pts\Pedro_group_pts.htm" xr:uid="{00000000-0004-0000-0000-0000D3010000}"/>
    <hyperlink ref="P126" r:id="rId469" display="knockout_pts\Pedro_knockout_pts.htm" xr:uid="{00000000-0004-0000-0000-0000D4010000}"/>
    <hyperlink ref="L123" r:id="rId470" xr:uid="{00000000-0004-0000-0000-0000D5010000}"/>
    <hyperlink ref="O123" r:id="rId471" display="group_pts\PeterB_group_pts.htm" xr:uid="{00000000-0004-0000-0000-0000D6010000}"/>
    <hyperlink ref="P123" r:id="rId472" display="knockout_pts\PeterB_knockout_pts.htm" xr:uid="{00000000-0004-0000-0000-0000D7010000}"/>
    <hyperlink ref="R123" r:id="rId473" display="bonus_pts\PeterB_bonus_pts.htm" xr:uid="{00000000-0004-0000-0000-0000D8010000}"/>
    <hyperlink ref="L104" r:id="rId474" xr:uid="{00000000-0004-0000-0000-0000D9010000}"/>
    <hyperlink ref="O104" r:id="rId475" display="group_pts\PeterM_group_pts.htm" xr:uid="{00000000-0004-0000-0000-0000DA010000}"/>
    <hyperlink ref="P104" r:id="rId476" display="knockout_pts\PeterM_knockout_pts.htm" xr:uid="{00000000-0004-0000-0000-0000DB010000}"/>
    <hyperlink ref="R104" r:id="rId477" display="bonus_pts\PeterM_bonus_pts.htm" xr:uid="{00000000-0004-0000-0000-0000DC010000}"/>
    <hyperlink ref="L197" r:id="rId478" xr:uid="{00000000-0004-0000-0000-0000DD010000}"/>
    <hyperlink ref="O197" r:id="rId479" display="group_pts\Razi_group_pts.htm" xr:uid="{00000000-0004-0000-0000-0000DE010000}"/>
    <hyperlink ref="P197" r:id="rId480" display="knockout_pts\Razi_knockout_pts.htm" xr:uid="{00000000-0004-0000-0000-0000DF010000}"/>
    <hyperlink ref="R197" r:id="rId481" display="bonus_pts\Razi_bonus_pts.htm" xr:uid="{00000000-0004-0000-0000-0000E0010000}"/>
    <hyperlink ref="L152" r:id="rId482" xr:uid="{00000000-0004-0000-0000-0000E1010000}"/>
    <hyperlink ref="O152" r:id="rId483" display="group_pts\Sean_group_pts.htm" xr:uid="{00000000-0004-0000-0000-0000E2010000}"/>
    <hyperlink ref="P152" r:id="rId484" display="knockout_pts\Sean_knockout_pts.htm" xr:uid="{00000000-0004-0000-0000-0000E3010000}"/>
    <hyperlink ref="R152" r:id="rId485" display="bonus_pts\Sean_bonus_pts.htm" xr:uid="{00000000-0004-0000-0000-0000E4010000}"/>
    <hyperlink ref="L176" r:id="rId486" xr:uid="{00000000-0004-0000-0000-0000E5010000}"/>
    <hyperlink ref="O176" r:id="rId487" display="group_pts\Rita_group_pts.htm" xr:uid="{00000000-0004-0000-0000-0000E6010000}"/>
    <hyperlink ref="P176" r:id="rId488" display="knockout_pts\Rita_knockout_pts.htm" xr:uid="{00000000-0004-0000-0000-0000E7010000}"/>
    <hyperlink ref="R176" r:id="rId489" display="bonus_pts\Rita_bonus_pts.htm" xr:uid="{00000000-0004-0000-0000-0000E8010000}"/>
    <hyperlink ref="L130" r:id="rId490" xr:uid="{00000000-0004-0000-0000-0000E9010000}"/>
    <hyperlink ref="L106" r:id="rId491" xr:uid="{00000000-0004-0000-0000-0000EA010000}"/>
    <hyperlink ref="L157" r:id="rId492" xr:uid="{00000000-0004-0000-0000-0000EB010000}"/>
    <hyperlink ref="L180" r:id="rId493" xr:uid="{00000000-0004-0000-0000-0000EC010000}"/>
    <hyperlink ref="L200" r:id="rId494" xr:uid="{00000000-0004-0000-0000-0000ED010000}"/>
    <hyperlink ref="L167" r:id="rId495" xr:uid="{00000000-0004-0000-0000-0000EE010000}"/>
    <hyperlink ref="L140" r:id="rId496" xr:uid="{00000000-0004-0000-0000-0000EF010000}"/>
    <hyperlink ref="L158" r:id="rId497" xr:uid="{00000000-0004-0000-0000-0000F0010000}"/>
    <hyperlink ref="O130" r:id="rId498" display="group_pts\RobertP_group_pts.htm" xr:uid="{00000000-0004-0000-0000-0000F1010000}"/>
    <hyperlink ref="O106" r:id="rId499" display="group_pts\RobertS_group_pts.htm" xr:uid="{00000000-0004-0000-0000-0000F2010000}"/>
    <hyperlink ref="O157" r:id="rId500" display="group_pts\Stallone1_group_pts.htm" xr:uid="{00000000-0004-0000-0000-0000F3010000}"/>
    <hyperlink ref="O180" r:id="rId501" display="group_pts\Stan_group_pts.htm" xr:uid="{00000000-0004-0000-0000-0000F4010000}"/>
    <hyperlink ref="O200" r:id="rId502" display="group_pts\RobW_group_pts.htm" xr:uid="{00000000-0004-0000-0000-0000F5010000}"/>
    <hyperlink ref="O167" r:id="rId503" display="group_pts\RD22_group_pts.htm" xr:uid="{00000000-0004-0000-0000-0000F6010000}"/>
    <hyperlink ref="O140" r:id="rId504" display="group_pts\Santiago_group_pts.htm" xr:uid="{00000000-0004-0000-0000-0000F7010000}"/>
    <hyperlink ref="O158" r:id="rId505" display="group_pts\Teresa_group_pts.htm" xr:uid="{00000000-0004-0000-0000-0000F8010000}"/>
    <hyperlink ref="P130" r:id="rId506" display="knockout_pts\RobertP_knockout_pts.htm" xr:uid="{00000000-0004-0000-0000-0000F9010000}"/>
    <hyperlink ref="P106" r:id="rId507" display="knockout_pts\RobertS_knockout_pts.htm" xr:uid="{00000000-0004-0000-0000-0000FA010000}"/>
    <hyperlink ref="P157" r:id="rId508" display="knockout_pts\Stallone1_knockout_pts.htm" xr:uid="{00000000-0004-0000-0000-0000FB010000}"/>
    <hyperlink ref="P180" r:id="rId509" display="knockout_pts\Stan_knockout_pts.htm" xr:uid="{00000000-0004-0000-0000-0000FC010000}"/>
    <hyperlink ref="P200" r:id="rId510" display="knockout_pts\RobW_knockout_pts.htm" xr:uid="{00000000-0004-0000-0000-0000FD010000}"/>
    <hyperlink ref="P167" r:id="rId511" display="knockout_pts\RD22_knockout_pts.htm" xr:uid="{00000000-0004-0000-0000-0000FE010000}"/>
    <hyperlink ref="P140" r:id="rId512" display="knockout_pts\Santiago_knockout_pts.htm" xr:uid="{00000000-0004-0000-0000-0000FF010000}"/>
    <hyperlink ref="P158" r:id="rId513" display="knockout_pts\Teresa_knockout_pts.htm" xr:uid="{00000000-0004-0000-0000-000000020000}"/>
    <hyperlink ref="R130" r:id="rId514" display="bonus_pts\RobertP_bonus_pts.htm" xr:uid="{00000000-0004-0000-0000-000001020000}"/>
    <hyperlink ref="R106" r:id="rId515" display="bonus_pts\RobertS_bonus_pts.htm" xr:uid="{00000000-0004-0000-0000-000002020000}"/>
    <hyperlink ref="R157" r:id="rId516" display="bonus_pts\Stallone1_bonus_pts.htm" xr:uid="{00000000-0004-0000-0000-000003020000}"/>
    <hyperlink ref="R200" r:id="rId517" display="bonus_pts\RobW_bonus_pts.htm" xr:uid="{00000000-0004-0000-0000-000004020000}"/>
    <hyperlink ref="R158" r:id="rId518" display="bonus_pts\Teresa_bonus_pts.htm" xr:uid="{00000000-0004-0000-0000-000005020000}"/>
    <hyperlink ref="L143" r:id="rId519" xr:uid="{00000000-0004-0000-0000-000006020000}"/>
    <hyperlink ref="L47" r:id="rId520" xr:uid="{00000000-0004-0000-0000-000007020000}"/>
    <hyperlink ref="L56" r:id="rId521" xr:uid="{00000000-0004-0000-0000-000008020000}"/>
    <hyperlink ref="L127" r:id="rId522" xr:uid="{00000000-0004-0000-0000-000009020000}"/>
    <hyperlink ref="L172" r:id="rId523" xr:uid="{00000000-0004-0000-0000-00000A020000}"/>
    <hyperlink ref="L132" r:id="rId524" xr:uid="{00000000-0004-0000-0000-00000B020000}"/>
    <hyperlink ref="L85" r:id="rId525" xr:uid="{00000000-0004-0000-0000-00000C020000}"/>
    <hyperlink ref="L64" r:id="rId526" xr:uid="{00000000-0004-0000-0000-00000D020000}"/>
    <hyperlink ref="L191" r:id="rId527" xr:uid="{00000000-0004-0000-0000-00000E020000}"/>
    <hyperlink ref="L105" r:id="rId528" xr:uid="{00000000-0004-0000-0000-00000F020000}"/>
    <hyperlink ref="O143" r:id="rId529" display="group_pts\Tanya_group_pts.htm" xr:uid="{00000000-0004-0000-0000-000010020000}"/>
    <hyperlink ref="O47" r:id="rId530" display="group_pts\TonyM_group_pts.htm" xr:uid="{00000000-0004-0000-0000-000011020000}"/>
    <hyperlink ref="O56" r:id="rId531" display="group_pts\Trevor_group_pts.htm" xr:uid="{00000000-0004-0000-0000-000012020000}"/>
    <hyperlink ref="O127" r:id="rId532" display="group_pts\TonyH_group_pts.htm" xr:uid="{00000000-0004-0000-0000-000013020000}"/>
    <hyperlink ref="O172" r:id="rId533" display="group_pts\Tristan_group_pts.htm" xr:uid="{00000000-0004-0000-0000-000014020000}"/>
    <hyperlink ref="O132" r:id="rId534" display="group_pts\Rick_group_pts.htm" xr:uid="{00000000-0004-0000-0000-000015020000}"/>
    <hyperlink ref="O85" r:id="rId535" display="group_pts\Gavin_group_pts.htm" xr:uid="{00000000-0004-0000-0000-000016020000}"/>
    <hyperlink ref="O64" r:id="rId536" display="group_pts\Roger_group_pts.htm" xr:uid="{00000000-0004-0000-0000-000017020000}"/>
    <hyperlink ref="O191" r:id="rId537" display="group_pts\Michele_group_pts.htm" xr:uid="{00000000-0004-0000-0000-000018020000}"/>
    <hyperlink ref="O105" r:id="rId538" display="group_pts\JustinD_group_pts.htm" xr:uid="{00000000-0004-0000-0000-000019020000}"/>
    <hyperlink ref="P143" r:id="rId539" display="knockout_pts\Tanya_knockout_pts.htm" xr:uid="{00000000-0004-0000-0000-00001A020000}"/>
    <hyperlink ref="P47" r:id="rId540" display="knockout_pts\TonyM_knockout_pts.htm" xr:uid="{00000000-0004-0000-0000-00001B020000}"/>
    <hyperlink ref="P56" r:id="rId541" display="knockout_pts\Trevor_knockout_pts.htm" xr:uid="{00000000-0004-0000-0000-00001C020000}"/>
    <hyperlink ref="P127" r:id="rId542" display="knockout_pts\TonyH_knockout_pts.htm" xr:uid="{00000000-0004-0000-0000-00001D020000}"/>
    <hyperlink ref="P172" r:id="rId543" display="knockout_pts\Tristan_knockout_pts.htm" xr:uid="{00000000-0004-0000-0000-00001E020000}"/>
    <hyperlink ref="P132" r:id="rId544" display="knockout_pts\Rick_knockout_pts.htm" xr:uid="{00000000-0004-0000-0000-00001F020000}"/>
    <hyperlink ref="P85" r:id="rId545" display="knockout_pts\Gavin_knockout_pts.htm" xr:uid="{00000000-0004-0000-0000-000020020000}"/>
    <hyperlink ref="P64" r:id="rId546" display="knockout_pts\Roger_knockout_pts.htm" xr:uid="{00000000-0004-0000-0000-000021020000}"/>
    <hyperlink ref="P191" r:id="rId547" display="knockout_pts\Michele_knockout_pts.htm" xr:uid="{00000000-0004-0000-0000-000022020000}"/>
    <hyperlink ref="P105" r:id="rId548" display="knockout_pts\JustinD_knockout_pts.htm" xr:uid="{00000000-0004-0000-0000-000023020000}"/>
    <hyperlink ref="R143" r:id="rId549" display="bonus_pts\Tanya_bonus_pts.htm" xr:uid="{00000000-0004-0000-0000-000024020000}"/>
    <hyperlink ref="R47" r:id="rId550" display="bonus_pts\TonyM_bonus_pts.htm" xr:uid="{00000000-0004-0000-0000-000025020000}"/>
    <hyperlink ref="R56" r:id="rId551" display="bonus_pts\Trevor_bonus_pts.htm" xr:uid="{00000000-0004-0000-0000-000026020000}"/>
    <hyperlink ref="R172" r:id="rId552" display="bonus_pts\Tristan_bonus_pts.htm" xr:uid="{00000000-0004-0000-0000-000027020000}"/>
    <hyperlink ref="R132" r:id="rId553" display="bonus_pts\Rick_bonus_pts.htm" xr:uid="{00000000-0004-0000-0000-000028020000}"/>
    <hyperlink ref="R85" r:id="rId554" display="bonus_pts\Gavin_bonus_pts.htm" xr:uid="{00000000-0004-0000-0000-000029020000}"/>
    <hyperlink ref="R64" r:id="rId555" display="bonus_pts\Roger_bonus_pts.htm" xr:uid="{00000000-0004-0000-0000-00002A020000}"/>
    <hyperlink ref="R105" r:id="rId556" display="bonus_pts\JustinD_bonus_pts.htm" xr:uid="{00000000-0004-0000-0000-00002B020000}"/>
    <hyperlink ref="L96" r:id="rId557" display="Aaron" xr:uid="{00000000-0004-0000-0000-00002C020000}"/>
    <hyperlink ref="O52" r:id="rId558" display="group_pts\Nancy_group_pts.htm" xr:uid="{00000000-0004-0000-0000-00002D020000}"/>
    <hyperlink ref="L36" r:id="rId559" xr:uid="{00000000-0004-0000-0000-00002E020000}"/>
    <hyperlink ref="O36" r:id="rId560" display="group_pts\DinoD_group_pts.htm" xr:uid="{00000000-0004-0000-0000-00002F020000}"/>
    <hyperlink ref="P36" r:id="rId561" display="knockout_pts\DinoD_knockout_pts.htm" xr:uid="{00000000-0004-0000-0000-000030020000}"/>
    <hyperlink ref="R36" r:id="rId562" display="bonus_pts\DinoD_bonus_pts.htm" xr:uid="{00000000-0004-0000-0000-000031020000}"/>
    <hyperlink ref="L33" r:id="rId563" xr:uid="{00000000-0004-0000-0000-000032020000}"/>
    <hyperlink ref="O33" r:id="rId564" display="group_pts\Victer_group_pts.htm" xr:uid="{00000000-0004-0000-0000-000033020000}"/>
    <hyperlink ref="P33" r:id="rId565" display="knockout_pts\Victer_knockout_pts.htm" xr:uid="{00000000-0004-0000-0000-000034020000}"/>
    <hyperlink ref="R39" r:id="rId566" display="bonus_pts\Nuno_bonus_pts.htm" xr:uid="{00000000-0004-0000-0000-000035020000}"/>
    <hyperlink ref="P39" r:id="rId567" display="knockout_pts\Nuno_knockout_pts.htm" xr:uid="{00000000-0004-0000-0000-000036020000}"/>
    <hyperlink ref="O39" r:id="rId568" display="group_pts\Nuno_group_pts.htm" xr:uid="{00000000-0004-0000-0000-000037020000}"/>
    <hyperlink ref="L39" r:id="rId569" xr:uid="{00000000-0004-0000-0000-000038020000}"/>
    <hyperlink ref="L161" r:id="rId570" xr:uid="{00000000-0004-0000-0000-000039020000}"/>
    <hyperlink ref="O161" r:id="rId571" display="group_pts\Jimmy_group_pts.htm" xr:uid="{00000000-0004-0000-0000-00003A020000}"/>
    <hyperlink ref="P161" r:id="rId572" display="knockout_pts\Jimmy_knockout_pts.htm" xr:uid="{00000000-0004-0000-0000-00003B020000}"/>
    <hyperlink ref="L119" r:id="rId573" xr:uid="{00000000-0004-0000-0000-00003C020000}"/>
    <hyperlink ref="O119" r:id="rId574" display="group_pts\KevinS_group_pts.htm" xr:uid="{00000000-0004-0000-0000-00003D020000}"/>
    <hyperlink ref="P119" r:id="rId575" display="knockout_pts\KevinS_knockout_pts.htm" xr:uid="{00000000-0004-0000-0000-00003E020000}"/>
    <hyperlink ref="R119" r:id="rId576" display="bonus_pts\KevinS_bonus_pts.htm" xr:uid="{00000000-0004-0000-0000-00003F020000}"/>
    <hyperlink ref="L116" r:id="rId577" xr:uid="{00000000-0004-0000-0000-000040020000}"/>
    <hyperlink ref="O116" r:id="rId578" display="group_pts\LiamF_group_pts.htm" xr:uid="{00000000-0004-0000-0000-000041020000}"/>
    <hyperlink ref="P116" r:id="rId579" display="knockout_pts\LiamF_knockout_pts.htm" xr:uid="{00000000-0004-0000-0000-000042020000}"/>
    <hyperlink ref="R116" r:id="rId580" display="bonus_pts\LiamF_bonus_pts.htm" xr:uid="{00000000-0004-0000-0000-000043020000}"/>
    <hyperlink ref="L25" r:id="rId581" xr:uid="{00000000-0004-0000-0000-000044020000}"/>
    <hyperlink ref="O25" r:id="rId582" display="group_pts\CMD88_group_pts.htm" xr:uid="{00000000-0004-0000-0000-000045020000}"/>
    <hyperlink ref="P25" r:id="rId583" display="knockout_pts\CMD88_knockout_pts.htm" xr:uid="{00000000-0004-0000-0000-000046020000}"/>
    <hyperlink ref="R25" r:id="rId584" display="bonus_pts\CMD88_bonus_pts.htm" xr:uid="{00000000-0004-0000-0000-000047020000}"/>
    <hyperlink ref="L27" r:id="rId585" xr:uid="{00000000-0004-0000-0000-000048020000}"/>
    <hyperlink ref="O27" r:id="rId586" display="group_pts\Soni_group_pts.htm" xr:uid="{00000000-0004-0000-0000-000049020000}"/>
    <hyperlink ref="P27" r:id="rId587" display="knockout_pts\Soni_knockout_pts.htm" xr:uid="{00000000-0004-0000-0000-00004A020000}"/>
    <hyperlink ref="L26" r:id="rId588" xr:uid="{00000000-0004-0000-0000-00004B020000}"/>
    <hyperlink ref="O26" r:id="rId589" display="group_pts\Alnashir_group_pts.htm" xr:uid="{00000000-0004-0000-0000-00004C020000}"/>
    <hyperlink ref="P26" r:id="rId590" display="knockout_pts\Alnashir_knockout_pts.htm" xr:uid="{00000000-0004-0000-0000-00004D020000}"/>
    <hyperlink ref="R26" r:id="rId591" display="bonus_pts\Alnashir_bonus_pts.htm" xr:uid="{00000000-0004-0000-0000-00004E020000}"/>
    <hyperlink ref="L77" r:id="rId592" xr:uid="{00000000-0004-0000-0000-00004F020000}"/>
    <hyperlink ref="O77" r:id="rId593" display="group_pts\Sher_group_pts.htm" xr:uid="{00000000-0004-0000-0000-000050020000}"/>
    <hyperlink ref="P77" r:id="rId594" display="knockout_pts\Sher_knockout_pts.htm" xr:uid="{00000000-0004-0000-0000-000051020000}"/>
    <hyperlink ref="R77" r:id="rId595" display="bonus_pts\Sher_bonus_pts.htm" xr:uid="{00000000-0004-0000-0000-000052020000}"/>
    <hyperlink ref="L74" r:id="rId596" xr:uid="{00000000-0004-0000-0000-000053020000}"/>
    <hyperlink ref="O74" r:id="rId597" display="group_pts\DinoG_group_pts.htm" xr:uid="{00000000-0004-0000-0000-000054020000}"/>
    <hyperlink ref="P74" r:id="rId598" display="knockout_pts\DinoG_knockout_pts.htm" xr:uid="{00000000-0004-0000-0000-000055020000}"/>
    <hyperlink ref="R74" r:id="rId599" display="bonus_pts\DinoG_bonus_pts.htm" xr:uid="{00000000-0004-0000-0000-000056020000}"/>
    <hyperlink ref="L101" r:id="rId600" xr:uid="{00000000-0004-0000-0000-000057020000}"/>
    <hyperlink ref="O101" r:id="rId601" display="group_pts\Scotty_group_pts.htm" xr:uid="{00000000-0004-0000-0000-000058020000}"/>
    <hyperlink ref="P101" r:id="rId602" display="knockout_pts\Scotty_knockout_pts.htm" xr:uid="{00000000-0004-0000-0000-000059020000}"/>
    <hyperlink ref="R101" r:id="rId603" display="bonus_pts\Scotty_bonus_pts.htm" xr:uid="{00000000-0004-0000-0000-00005A020000}"/>
    <hyperlink ref="L199" r:id="rId604" xr:uid="{00000000-0004-0000-0000-00005B020000}"/>
    <hyperlink ref="O199" r:id="rId605" display="group_pts\Aaron1_group_pts.htm" xr:uid="{00000000-0004-0000-0000-00005C020000}"/>
    <hyperlink ref="P199" r:id="rId606" display="knockout_pts\Aaron1_knockout_pts.htm" xr:uid="{00000000-0004-0000-0000-00005D020000}"/>
    <hyperlink ref="R199" r:id="rId607" display="bonus_pts\Aaron1_bonus_pts.htm" xr:uid="{00000000-0004-0000-0000-00005E020000}"/>
    <hyperlink ref="L165" r:id="rId608" xr:uid="{00000000-0004-0000-0000-00005F020000}"/>
    <hyperlink ref="O165" r:id="rId609" display="group_pts\Vicki_group_pts.htm" xr:uid="{00000000-0004-0000-0000-000060020000}"/>
    <hyperlink ref="P165" r:id="rId610" display="knockout_pts\Vicki_knockout_pts.htm" xr:uid="{00000000-0004-0000-0000-000061020000}"/>
    <hyperlink ref="R165" r:id="rId611" display="bonus_pts\Vicki_bonus_pts.htm" xr:uid="{00000000-0004-0000-0000-000062020000}"/>
    <hyperlink ref="L129" r:id="rId612" xr:uid="{00000000-0004-0000-0000-000063020000}"/>
    <hyperlink ref="O129" r:id="rId613" display="group_pts\Preto2_group_pts.htm" xr:uid="{00000000-0004-0000-0000-000064020000}"/>
    <hyperlink ref="P129" r:id="rId614" display="knockout_pts\Preto2_knockout_pts.htm" xr:uid="{00000000-0004-0000-0000-000065020000}"/>
    <hyperlink ref="R129" r:id="rId615" display="bonus_pts\Preto2_bonus_pts.htm" xr:uid="{00000000-0004-0000-0000-000066020000}"/>
    <hyperlink ref="L188" r:id="rId616" xr:uid="{00000000-0004-0000-0000-000067020000}"/>
    <hyperlink ref="O188" r:id="rId617" display="group_pts\Preto1_group_pts.htm" xr:uid="{00000000-0004-0000-0000-000068020000}"/>
    <hyperlink ref="P188" r:id="rId618" display="knockout_pts\Preto1_knockout_pts.htm" xr:uid="{00000000-0004-0000-0000-000069020000}"/>
    <hyperlink ref="R188" r:id="rId619" display="bonus_pts\Preto1_bonus_pts.htm" xr:uid="{00000000-0004-0000-0000-00006A020000}"/>
    <hyperlink ref="L71" r:id="rId620" xr:uid="{00000000-0004-0000-0000-00006B020000}"/>
    <hyperlink ref="O71" r:id="rId621" display="group_pts\Ishaque_group_pts.htm" xr:uid="{00000000-0004-0000-0000-00006C020000}"/>
    <hyperlink ref="P71" r:id="rId622" display="knockout_pts\Ishaque_knockout_pts.htm" xr:uid="{00000000-0004-0000-0000-00006D020000}"/>
    <hyperlink ref="R71" r:id="rId623" display="bonus_pts\Ishaque_bonus_pts.htm" xr:uid="{00000000-0004-0000-0000-00006E020000}"/>
    <hyperlink ref="L54" r:id="rId624" xr:uid="{00000000-0004-0000-0000-00006F020000}"/>
    <hyperlink ref="L137" r:id="rId625" xr:uid="{00000000-0004-0000-0000-000070020000}"/>
    <hyperlink ref="O137" r:id="rId626" display="group_pts\Fabiola_group_pts.htm" xr:uid="{00000000-0004-0000-0000-000071020000}"/>
    <hyperlink ref="P137" r:id="rId627" display="knockout_pts\Fabiola_knockout_pts.htm" xr:uid="{00000000-0004-0000-0000-000072020000}"/>
    <hyperlink ref="R137" r:id="rId628" display="bonus_pts\Fabiola_bonus_pts.htm" xr:uid="{00000000-0004-0000-0000-000073020000}"/>
    <hyperlink ref="L173" r:id="rId629" xr:uid="{00000000-0004-0000-0000-000074020000}"/>
    <hyperlink ref="O173" r:id="rId630" display="group_pts\Cameron_group_pts.htm" xr:uid="{00000000-0004-0000-0000-000075020000}"/>
    <hyperlink ref="P173" r:id="rId631" display="knockout_pts\Cameron_knockout_pts.htm" xr:uid="{00000000-0004-0000-0000-000076020000}"/>
    <hyperlink ref="R173" r:id="rId632" display="bonus_pts\Cameron_bonus_pts.htm" xr:uid="{00000000-0004-0000-0000-000077020000}"/>
    <hyperlink ref="L192" r:id="rId633" xr:uid="{00000000-0004-0000-0000-000078020000}"/>
    <hyperlink ref="O192" r:id="rId634" display="group_pts\Michiel_group_pts.htm" xr:uid="{00000000-0004-0000-0000-000079020000}"/>
    <hyperlink ref="P192" r:id="rId635" display="knockout_pts\Michiel_knockout_pts.htm" xr:uid="{00000000-0004-0000-0000-00007A020000}"/>
    <hyperlink ref="L109" r:id="rId636" xr:uid="{00000000-0004-0000-0000-00007B020000}"/>
    <hyperlink ref="O109" r:id="rId637" display="group_pts\Mugwe_group_pts.htm" xr:uid="{00000000-0004-0000-0000-00007C020000}"/>
    <hyperlink ref="P109" r:id="rId638" display="knockout_pts\Mugwe_knockout_pts.htm" xr:uid="{00000000-0004-0000-0000-00007D020000}"/>
    <hyperlink ref="R109" r:id="rId639" display="bonus_pts\Mugwe_bonus_pts.htm" xr:uid="{00000000-0004-0000-0000-00007E020000}"/>
    <hyperlink ref="L187" r:id="rId640" xr:uid="{00000000-0004-0000-0000-00007F020000}"/>
    <hyperlink ref="O187" r:id="rId641" display="group_pts\Ken_group_pts.htm" xr:uid="{00000000-0004-0000-0000-000080020000}"/>
    <hyperlink ref="P187" r:id="rId642" display="knockout_pts\Ken_knockout_pts.htm" xr:uid="{00000000-0004-0000-0000-000081020000}"/>
    <hyperlink ref="L57" r:id="rId643" xr:uid="{00000000-0004-0000-0000-000082020000}"/>
    <hyperlink ref="O57" r:id="rId644" display="group_pts\Yuri_group_pts.htm" xr:uid="{00000000-0004-0000-0000-000083020000}"/>
    <hyperlink ref="P57" r:id="rId645" display="knockout_pts\Yuri_knockout_pts.htm" xr:uid="{00000000-0004-0000-0000-000084020000}"/>
    <hyperlink ref="R57" r:id="rId646" display="bonus_pts\Yuri_bonus_pts.htm" xr:uid="{00000000-0004-0000-0000-000085020000}"/>
    <hyperlink ref="L59" r:id="rId647" xr:uid="{00000000-0004-0000-0000-000086020000}"/>
    <hyperlink ref="O59" r:id="rId648" display="group_pts\Simon_group_pts.htm" xr:uid="{00000000-0004-0000-0000-000087020000}"/>
    <hyperlink ref="P59" r:id="rId649" display="knockout_pts\Simon_knockout_pts.htm" xr:uid="{00000000-0004-0000-0000-000088020000}"/>
    <hyperlink ref="R59" r:id="rId650" display="bonus_pts\Simon_bonus_pts.htm" xr:uid="{00000000-0004-0000-0000-000089020000}"/>
    <hyperlink ref="L55" r:id="rId651" xr:uid="{00000000-0004-0000-0000-00008A020000}"/>
    <hyperlink ref="O55" r:id="rId652" display="group_pts\Aaron2_group_pts.htm" xr:uid="{00000000-0004-0000-0000-00008B020000}"/>
    <hyperlink ref="P55" r:id="rId653" display="knockout_pts\Aaron2_knockout_pts.htm" xr:uid="{00000000-0004-0000-0000-00008C020000}"/>
    <hyperlink ref="R55" r:id="rId654" display="bonus_pts\Aaron2_bonus_pts.htm" xr:uid="{00000000-0004-0000-0000-00008D020000}"/>
    <hyperlink ref="L53" r:id="rId655" xr:uid="{00000000-0004-0000-0000-00008E020000}"/>
    <hyperlink ref="O53" r:id="rId656" display="group_pts\Julian_group_pts.htm" xr:uid="{00000000-0004-0000-0000-00008F020000}"/>
    <hyperlink ref="P53" r:id="rId657" display="knockout_pts\Julian_knockout_pts.htm" xr:uid="{00000000-0004-0000-0000-000090020000}"/>
    <hyperlink ref="L108" r:id="rId658" xr:uid="{00000000-0004-0000-0000-000091020000}"/>
    <hyperlink ref="O108" r:id="rId659" display="group_pts\RichardMa2_group_pts.htm" xr:uid="{00000000-0004-0000-0000-000092020000}"/>
    <hyperlink ref="P108" r:id="rId660" display="knockout_pts\RichardMa2_knockout_pts.htm" xr:uid="{00000000-0004-0000-0000-000093020000}"/>
    <hyperlink ref="L23" r:id="rId661" xr:uid="{00000000-0004-0000-0000-000094020000}"/>
    <hyperlink ref="O23" r:id="rId662" display="group_pts\Sameer_group_pts.htm" xr:uid="{00000000-0004-0000-0000-000095020000}"/>
    <hyperlink ref="P23" r:id="rId663" display="knockout_pts\Sameer_knockout_pts.htm" xr:uid="{00000000-0004-0000-0000-000096020000}"/>
    <hyperlink ref="R23" r:id="rId664" display="bonus_pts\Sameer_bonus_pts.htm" xr:uid="{00000000-0004-0000-0000-000097020000}"/>
    <hyperlink ref="L62" r:id="rId665" xr:uid="{00000000-0004-0000-0000-000098020000}"/>
    <hyperlink ref="O62" r:id="rId666" display="group_pts\RobV_group_pts.htm" xr:uid="{00000000-0004-0000-0000-000099020000}"/>
    <hyperlink ref="P62" r:id="rId667" display="knockout_pts\RobV_knockout_pts.htm" xr:uid="{00000000-0004-0000-0000-00009A020000}"/>
    <hyperlink ref="L98" r:id="rId668" xr:uid="{00000000-0004-0000-0000-00009B020000}"/>
    <hyperlink ref="O98" r:id="rId669" display="group_pts\StevenT_group_pts.htm" xr:uid="{00000000-0004-0000-0000-00009C020000}"/>
    <hyperlink ref="P98" r:id="rId670" display="knockout_pts\StevenT_knockout_pts.htm" xr:uid="{00000000-0004-0000-0000-00009D020000}"/>
    <hyperlink ref="R98" r:id="rId671" display="bonus_pts\StevenT_bonus_pts.htm" xr:uid="{00000000-0004-0000-0000-00009E020000}"/>
    <hyperlink ref="L113" r:id="rId672" xr:uid="{00000000-0004-0000-0000-00009F020000}"/>
    <hyperlink ref="O113" r:id="rId673" display="group_pts\Shawn2_group_pts.htm" xr:uid="{00000000-0004-0000-0000-0000A0020000}"/>
    <hyperlink ref="P113" r:id="rId674" display="knockout_pts\Shawn2_knockout_pts.htm" xr:uid="{00000000-0004-0000-0000-0000A1020000}"/>
    <hyperlink ref="R113" r:id="rId675" display="bonus_pts\Shawn2_bonus_pts.htm" xr:uid="{00000000-0004-0000-0000-0000A2020000}"/>
    <hyperlink ref="L44" r:id="rId676" xr:uid="{00000000-0004-0000-0000-0000A3020000}"/>
    <hyperlink ref="O44" r:id="rId677" display="group_pts\Tanmay_group_pts.htm" xr:uid="{00000000-0004-0000-0000-0000A4020000}"/>
    <hyperlink ref="P44" r:id="rId678" display="knockout_pts\Tanmay_knockout_pts.htm" xr:uid="{00000000-0004-0000-0000-0000A5020000}"/>
    <hyperlink ref="L183" r:id="rId679" xr:uid="{00000000-0004-0000-0000-0000A6020000}"/>
    <hyperlink ref="O183" r:id="rId680" display="group_pts\Wilson_group_pts.htm" xr:uid="{00000000-0004-0000-0000-0000A7020000}"/>
    <hyperlink ref="P183" r:id="rId681" display="knockout_pts\Wilson_knockout_pts.htm" xr:uid="{00000000-0004-0000-0000-0000A8020000}"/>
    <hyperlink ref="R183" r:id="rId682" display="bonus_pts\Wilson_bonus_pts.htm" xr:uid="{00000000-0004-0000-0000-0000A9020000}"/>
    <hyperlink ref="T3:AD4" r:id="rId683" display="Pool Statistics" xr:uid="{00000000-0004-0000-0000-0000AA020000}"/>
    <hyperlink ref="T6:AD7" r:id="rId684" display="Bonus Questions tally" xr:uid="{00000000-0004-0000-0000-0000AB020000}"/>
    <hyperlink ref="R191" r:id="rId685" display="bonus_pts/Michele_bonus_pts.htm" xr:uid="{00000000-0004-0000-0000-0000AC020000}"/>
    <hyperlink ref="R193" r:id="rId686" display="bonus_pts/Nicole_bonus_pts.htm" xr:uid="{00000000-0004-0000-0000-0000AD020000}"/>
    <hyperlink ref="R27" r:id="rId687" display="bonus_pts/Soni_bonus_pts.htm" xr:uid="{00000000-0004-0000-0000-0000AE020000}"/>
    <hyperlink ref="R127" r:id="rId688" display="bonus_pts/TonyH_bonus_pts.htm" xr:uid="{00000000-0004-0000-0000-0000AF020000}"/>
    <hyperlink ref="R186" r:id="rId689" display="bonus_pts/DavidM_bonus_pts.htm" xr:uid="{00000000-0004-0000-0000-0000B0020000}"/>
    <hyperlink ref="R160" r:id="rId690" display="bonus_pts/Eduardo_bonus_pts.htm" xr:uid="{00000000-0004-0000-0000-0000B1020000}"/>
    <hyperlink ref="R178" r:id="rId691" display="bonus_pts/Elizabeth_bonus_pts.htm" xr:uid="{00000000-0004-0000-0000-0000B2020000}"/>
    <hyperlink ref="R187" r:id="rId692" display="bonus_pts/Ken_bonus_pts.htm" xr:uid="{00000000-0004-0000-0000-0000B3020000}"/>
    <hyperlink ref="R192" r:id="rId693" display="bonus_pts/Michiel_bonus_pts.htm" xr:uid="{00000000-0004-0000-0000-0000B4020000}"/>
    <hyperlink ref="R82" r:id="rId694" display="bonus_pts/NelsonP_bonus_pts.htm" xr:uid="{00000000-0004-0000-0000-0000B5020000}"/>
    <hyperlink ref="R167" r:id="rId695" display="bonus_pts/RD22_bonus_pts.htm" xr:uid="{00000000-0004-0000-0000-0000B6020000}"/>
    <hyperlink ref="R54" r:id="rId696" display="bonus_pts/Rousse_bonus_pts.htm" xr:uid="{00000000-0004-0000-0000-0000B7020000}"/>
    <hyperlink ref="R33" r:id="rId697" display="bonus_pts/Victer_bonus_pts.htm" xr:uid="{00000000-0004-0000-0000-0000B8020000}"/>
    <hyperlink ref="R108" r:id="rId698" display="bonus_pts/RichardMa2_bonus_pts.htm" xr:uid="{00000000-0004-0000-0000-0000B9020000}"/>
    <hyperlink ref="R140" r:id="rId699" display="bonus_pts/Santiago_bonus_pts.htm" xr:uid="{00000000-0004-0000-0000-0000BA020000}"/>
    <hyperlink ref="R76" r:id="rId700" display="bonus_pts/PaulC_bonus_pts.htm" xr:uid="{00000000-0004-0000-0000-0000BB020000}"/>
    <hyperlink ref="R32" r:id="rId701" display="bonus_pts/Maria_bonus_pts.htm" xr:uid="{00000000-0004-0000-0000-0000BC020000}"/>
    <hyperlink ref="R75" r:id="rId702" display="bonus_pts/MatthewS2_bonus_pts.htm" xr:uid="{00000000-0004-0000-0000-0000BD020000}"/>
    <hyperlink ref="R179" r:id="rId703" display="bonus_pts/KevinC_bonus_pts.htm" xr:uid="{00000000-0004-0000-0000-0000BE020000}"/>
    <hyperlink ref="R53" r:id="rId704" display="bonus_pts/Julian_bonus_pts.htm" xr:uid="{00000000-0004-0000-0000-0000BF020000}"/>
    <hyperlink ref="R161" r:id="rId705" display="bonus_pts/Jimmy_bonus_pts.htm" xr:uid="{00000000-0004-0000-0000-0000C0020000}"/>
    <hyperlink ref="R171" r:id="rId706" display="bonus_pts/Heather_bonus_pts.htm" xr:uid="{00000000-0004-0000-0000-0000C1020000}"/>
    <hyperlink ref="R198" r:id="rId707" display="bonus_pts/FrankD2_bonus_pts.htm" xr:uid="{00000000-0004-0000-0000-0000C2020000}"/>
    <hyperlink ref="R150" r:id="rId708" display="bonus_pts/Forbes_bonus_pts.htm" xr:uid="{00000000-0004-0000-0000-0000C3020000}"/>
    <hyperlink ref="R44" r:id="rId709" display="bonus_pts/Tanmay_bonus_pts.htm" xr:uid="{00000000-0004-0000-0000-0000C4020000}"/>
    <hyperlink ref="R88" r:id="rId710" display="bonus_pts/Stallone2_bonus_pts.htm" xr:uid="{00000000-0004-0000-0000-0000C5020000}"/>
    <hyperlink ref="R62" r:id="rId711" display="bonus_pts/RobV_bonus_pts.htm" xr:uid="{00000000-0004-0000-0000-0000C6020000}"/>
    <hyperlink ref="R163" r:id="rId712" display="bonus_pts/Marta_bonus_pts.htm" xr:uid="{00000000-0004-0000-0000-0000C7020000}"/>
    <hyperlink ref="R91" r:id="rId713" display="bonus_pts/Marcio_bonus_pts.htm" xr:uid="{00000000-0004-0000-0000-0000C8020000}"/>
    <hyperlink ref="R135" r:id="rId714" display="bonus_pts/JohnR_bonus_pts.htm" xr:uid="{00000000-0004-0000-0000-0000C9020000}"/>
    <hyperlink ref="R151" r:id="rId715" display="bonus_pts/Joanna_bonus_pts.htm" xr:uid="{00000000-0004-0000-0000-0000CA020000}"/>
    <hyperlink ref="R86" r:id="rId716" display="bonus_pts/Janelle_bonus_pts.htm" xr:uid="{00000000-0004-0000-0000-0000CB020000}"/>
    <hyperlink ref="R43" r:id="rId717" display="bonus_pts/Jake_bonus_pts.htm" xr:uid="{00000000-0004-0000-0000-0000CC020000}"/>
    <hyperlink ref="R30" r:id="rId718" display="bonus_pts/Igor_bonus_pts.htm" xr:uid="{00000000-0004-0000-0000-0000CD020000}"/>
    <hyperlink ref="R51" r:id="rId719" display="bonus_pts/Gabriela_bonus_pts.htm" xr:uid="{00000000-0004-0000-0000-0000CE020000}"/>
    <hyperlink ref="R78" r:id="rId720" display="bonus_pts/Fawzi_bonus_pts.htm" xr:uid="{00000000-0004-0000-0000-0000CF020000}"/>
    <hyperlink ref="R180" r:id="rId721" display="bonus_pts/Stan_bonus_pts.htm" xr:uid="{00000000-0004-0000-0000-0000D0020000}"/>
    <hyperlink ref="R122" r:id="rId722" display="bonus_pts/James_bonus_pts.htm" xr:uid="{00000000-0004-0000-0000-0000D1020000}"/>
    <hyperlink ref="R68" r:id="rId723" display="bonus_pts/Grosso_bonus_pts.htm" xr:uid="{00000000-0004-0000-0000-0000D2020000}"/>
    <hyperlink ref="R126" r:id="rId724" display="bonus_pts/Pedro_bonus_pts.htm" xr:uid="{00000000-0004-0000-0000-0000D3020000}"/>
    <hyperlink ref="R79" r:id="rId725" display="bonus_pts/Luka_bonus_pts.htm" xr:uid="{00000000-0004-0000-0000-0000D4020000}"/>
    <hyperlink ref="R34" r:id="rId726" display="bonus_pts/Franco_bonus_pts.htm" xr:uid="{00000000-0004-0000-0000-0000D5020000}"/>
  </hyperlinks>
  <pageMargins left="0.75" right="0.75" top="1" bottom="1" header="0.5" footer="0.5"/>
  <pageSetup orientation="portrait" r:id="rId727"/>
  <drawing r:id="rId728"/>
  <webPublishItems count="1">
    <webPublishItem id="23535" divId="index_23535" sourceType="sheet" destinationFile="C:\Users\Bob\Desktop\wc2022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3:I19"/>
  <sheetViews>
    <sheetView workbookViewId="0">
      <selection activeCell="A10" sqref="A10:I15"/>
    </sheetView>
  </sheetViews>
  <sheetFormatPr defaultRowHeight="12.75" x14ac:dyDescent="0.2"/>
  <cols>
    <col min="1" max="9" width="9.5703125" customWidth="1"/>
  </cols>
  <sheetData>
    <row r="3" spans="1:9" s="53" customFormat="1" ht="12.75" customHeight="1" x14ac:dyDescent="0.25"/>
    <row r="4" spans="1:9" s="53" customFormat="1" ht="21.75" customHeight="1" x14ac:dyDescent="0.25">
      <c r="A4" s="154" t="s">
        <v>74</v>
      </c>
      <c r="B4" s="154"/>
      <c r="C4" s="154"/>
      <c r="D4" s="154"/>
      <c r="E4" s="154"/>
      <c r="F4" s="154"/>
      <c r="G4" s="154"/>
      <c r="H4" s="154"/>
      <c r="I4" s="154"/>
    </row>
    <row r="5" spans="1:9" x14ac:dyDescent="0.2">
      <c r="A5" s="154"/>
      <c r="B5" s="154"/>
      <c r="C5" s="154"/>
      <c r="D5" s="154"/>
      <c r="E5" s="154"/>
      <c r="F5" s="154"/>
      <c r="G5" s="154"/>
      <c r="H5" s="154"/>
      <c r="I5" s="154"/>
    </row>
    <row r="6" spans="1:9" x14ac:dyDescent="0.2">
      <c r="A6" s="154"/>
      <c r="B6" s="154"/>
      <c r="C6" s="154"/>
      <c r="D6" s="154"/>
      <c r="E6" s="154"/>
      <c r="F6" s="154"/>
      <c r="G6" s="154"/>
      <c r="H6" s="154"/>
      <c r="I6" s="154"/>
    </row>
    <row r="10" spans="1:9" x14ac:dyDescent="0.2">
      <c r="A10" s="155" t="s">
        <v>369</v>
      </c>
      <c r="B10" s="155"/>
      <c r="C10" s="155"/>
      <c r="D10" s="155"/>
      <c r="E10" s="155"/>
      <c r="F10" s="155"/>
      <c r="G10" s="155"/>
      <c r="H10" s="155"/>
      <c r="I10" s="155"/>
    </row>
    <row r="11" spans="1:9" x14ac:dyDescent="0.2">
      <c r="A11" s="155"/>
      <c r="B11" s="155"/>
      <c r="C11" s="155"/>
      <c r="D11" s="155"/>
      <c r="E11" s="155"/>
      <c r="F11" s="155"/>
      <c r="G11" s="155"/>
      <c r="H11" s="155"/>
      <c r="I11" s="155"/>
    </row>
    <row r="12" spans="1:9" x14ac:dyDescent="0.2">
      <c r="A12" s="155"/>
      <c r="B12" s="155"/>
      <c r="C12" s="155"/>
      <c r="D12" s="155"/>
      <c r="E12" s="155"/>
      <c r="F12" s="155"/>
      <c r="G12" s="155"/>
      <c r="H12" s="155"/>
      <c r="I12" s="155"/>
    </row>
    <row r="13" spans="1:9" ht="12.75" customHeight="1" x14ac:dyDescent="0.2">
      <c r="A13" s="155"/>
      <c r="B13" s="155"/>
      <c r="C13" s="155"/>
      <c r="D13" s="155"/>
      <c r="E13" s="155"/>
      <c r="F13" s="155"/>
      <c r="G13" s="155"/>
      <c r="H13" s="155"/>
      <c r="I13" s="155"/>
    </row>
    <row r="14" spans="1:9" ht="12.75" customHeight="1" x14ac:dyDescent="0.2">
      <c r="A14" s="155"/>
      <c r="B14" s="155"/>
      <c r="C14" s="155"/>
      <c r="D14" s="155"/>
      <c r="E14" s="155"/>
      <c r="F14" s="155"/>
      <c r="G14" s="155"/>
      <c r="H14" s="155"/>
      <c r="I14" s="155"/>
    </row>
    <row r="15" spans="1:9" ht="12.75" customHeight="1" x14ac:dyDescent="0.2">
      <c r="A15" s="155"/>
      <c r="B15" s="155"/>
      <c r="C15" s="155"/>
      <c r="D15" s="155"/>
      <c r="E15" s="155"/>
      <c r="F15" s="155"/>
      <c r="G15" s="155"/>
      <c r="H15" s="155"/>
      <c r="I15" s="155"/>
    </row>
    <row r="17" spans="1:9" x14ac:dyDescent="0.2">
      <c r="A17" s="156" t="s">
        <v>370</v>
      </c>
      <c r="B17" s="156"/>
      <c r="C17" s="156"/>
      <c r="D17" s="156"/>
      <c r="E17" s="156"/>
      <c r="F17" s="156"/>
      <c r="G17" s="156"/>
      <c r="H17" s="156"/>
      <c r="I17" s="156"/>
    </row>
    <row r="18" spans="1:9" x14ac:dyDescent="0.2">
      <c r="A18" s="156"/>
      <c r="B18" s="156"/>
      <c r="C18" s="156"/>
      <c r="D18" s="156"/>
      <c r="E18" s="156"/>
      <c r="F18" s="156"/>
      <c r="G18" s="156"/>
      <c r="H18" s="156"/>
      <c r="I18" s="156"/>
    </row>
    <row r="19" spans="1:9" x14ac:dyDescent="0.2">
      <c r="A19" s="55"/>
      <c r="B19" s="55"/>
      <c r="C19" s="55"/>
      <c r="D19" s="55"/>
      <c r="E19" s="55"/>
      <c r="F19" s="55"/>
      <c r="G19" s="55"/>
      <c r="H19" s="55"/>
      <c r="I19" s="55"/>
    </row>
  </sheetData>
  <mergeCells count="3">
    <mergeCell ref="A4:I6"/>
    <mergeCell ref="A10:I15"/>
    <mergeCell ref="A17:I18"/>
  </mergeCells>
  <hyperlinks>
    <hyperlink ref="A4:G4" r:id="rId1" display="Proceed to STANDINGS page" xr:uid="{00000000-0004-0000-0100-000000000000}"/>
    <hyperlink ref="A4:I6" r:id="rId2" display="Proceed to current STANDINGS page" xr:uid="{00000000-0004-0000-0100-000001000000}"/>
  </hyperlinks>
  <pageMargins left="0.7" right="0.7" top="0.75" bottom="0.75" header="0.3" footer="0.3"/>
  <pageSetup orientation="portrait" r:id="rId3"/>
  <drawing r:id="rId4"/>
  <webPublishItems count="1">
    <webPublishItem id="12365" divId="index-2022-11-22 BIG_12365" sourceType="sheet" destinationFile="C:\Users\Bob\Desktop\wc2022\TEMP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68"/>
  <sheetViews>
    <sheetView topLeftCell="A22" workbookViewId="0">
      <selection activeCell="G54" sqref="G54"/>
    </sheetView>
  </sheetViews>
  <sheetFormatPr defaultRowHeight="12.75" x14ac:dyDescent="0.2"/>
  <cols>
    <col min="1" max="1" width="5.140625" bestFit="1" customWidth="1"/>
    <col min="2" max="2" width="13.5703125" bestFit="1" customWidth="1"/>
    <col min="3" max="3" width="8.42578125" customWidth="1"/>
    <col min="4" max="5" width="5.140625" customWidth="1"/>
    <col min="6" max="6" width="2.140625" customWidth="1"/>
    <col min="7" max="7" width="5.140625" bestFit="1" customWidth="1"/>
    <col min="8" max="8" width="13.5703125" bestFit="1" customWidth="1"/>
    <col min="9" max="9" width="8.42578125" customWidth="1"/>
    <col min="10" max="11" width="5.140625" customWidth="1"/>
    <col min="12" max="12" width="2.140625" customWidth="1"/>
    <col min="13" max="13" width="5.140625" bestFit="1" customWidth="1"/>
    <col min="14" max="14" width="13.5703125" bestFit="1" customWidth="1"/>
    <col min="15" max="15" width="8.42578125" customWidth="1"/>
    <col min="16" max="17" width="5.140625" customWidth="1"/>
    <col min="18" max="18" width="2.140625" customWidth="1"/>
  </cols>
  <sheetData>
    <row r="1" spans="1:17" s="67" customFormat="1" ht="12.75" customHeight="1" x14ac:dyDescent="0.2">
      <c r="A1" s="66"/>
      <c r="B1" s="66" t="s">
        <v>368</v>
      </c>
      <c r="C1" s="157" t="s">
        <v>80</v>
      </c>
      <c r="D1" s="157"/>
      <c r="E1" s="66"/>
      <c r="G1" s="66"/>
      <c r="H1" s="66" t="s">
        <v>368</v>
      </c>
      <c r="I1" s="157" t="s">
        <v>80</v>
      </c>
      <c r="J1" s="157"/>
      <c r="K1" s="66"/>
      <c r="M1" s="66"/>
      <c r="N1" s="66" t="s">
        <v>368</v>
      </c>
      <c r="O1" s="157" t="s">
        <v>80</v>
      </c>
      <c r="P1" s="157"/>
      <c r="Q1" s="66"/>
    </row>
    <row r="2" spans="1:17" ht="12.75" customHeight="1" x14ac:dyDescent="0.35">
      <c r="A2" s="56"/>
      <c r="B2" s="158">
        <v>1</v>
      </c>
      <c r="C2" s="158">
        <v>0</v>
      </c>
      <c r="D2" s="158"/>
      <c r="E2" s="56"/>
      <c r="G2" s="56"/>
      <c r="H2" s="158">
        <v>2</v>
      </c>
      <c r="I2" s="158">
        <v>0</v>
      </c>
      <c r="J2" s="158"/>
      <c r="K2" s="56"/>
      <c r="M2" s="56"/>
      <c r="N2" s="158">
        <v>2</v>
      </c>
      <c r="O2" s="158">
        <v>1</v>
      </c>
      <c r="P2" s="158"/>
      <c r="Q2" s="56"/>
    </row>
    <row r="3" spans="1:17" ht="12.75" customHeight="1" x14ac:dyDescent="0.35">
      <c r="A3" s="56"/>
      <c r="B3" s="158"/>
      <c r="C3" s="158"/>
      <c r="D3" s="158"/>
      <c r="E3" s="56"/>
      <c r="G3" s="56"/>
      <c r="H3" s="158"/>
      <c r="I3" s="158"/>
      <c r="J3" s="158"/>
      <c r="K3" s="56"/>
      <c r="M3" s="56"/>
      <c r="N3" s="158"/>
      <c r="O3" s="158"/>
      <c r="P3" s="158"/>
      <c r="Q3" s="56"/>
    </row>
    <row r="4" spans="1:17" ht="5.25" customHeight="1" thickBot="1" x14ac:dyDescent="0.25"/>
    <row r="5" spans="1:17" ht="12.75" customHeight="1" thickTop="1" x14ac:dyDescent="0.2">
      <c r="A5" s="159" t="s">
        <v>75</v>
      </c>
      <c r="B5" s="162" t="s">
        <v>76</v>
      </c>
      <c r="C5" s="165" t="s">
        <v>77</v>
      </c>
      <c r="D5" s="168" t="s">
        <v>78</v>
      </c>
      <c r="E5" s="171" t="s">
        <v>79</v>
      </c>
      <c r="G5" s="159" t="s">
        <v>75</v>
      </c>
      <c r="H5" s="162" t="s">
        <v>76</v>
      </c>
      <c r="I5" s="165" t="s">
        <v>77</v>
      </c>
      <c r="J5" s="168" t="s">
        <v>78</v>
      </c>
      <c r="K5" s="171" t="s">
        <v>79</v>
      </c>
      <c r="M5" s="159" t="s">
        <v>75</v>
      </c>
      <c r="N5" s="162" t="s">
        <v>76</v>
      </c>
      <c r="O5" s="165" t="s">
        <v>77</v>
      </c>
      <c r="P5" s="168" t="s">
        <v>78</v>
      </c>
      <c r="Q5" s="171" t="s">
        <v>79</v>
      </c>
    </row>
    <row r="6" spans="1:17" ht="12.75" customHeight="1" x14ac:dyDescent="0.2">
      <c r="A6" s="160"/>
      <c r="B6" s="163"/>
      <c r="C6" s="166"/>
      <c r="D6" s="169"/>
      <c r="E6" s="172"/>
      <c r="G6" s="160"/>
      <c r="H6" s="163"/>
      <c r="I6" s="166"/>
      <c r="J6" s="169"/>
      <c r="K6" s="172"/>
      <c r="M6" s="160"/>
      <c r="N6" s="163"/>
      <c r="O6" s="166"/>
      <c r="P6" s="169"/>
      <c r="Q6" s="172"/>
    </row>
    <row r="7" spans="1:17" ht="12.75" customHeight="1" thickBot="1" x14ac:dyDescent="0.25">
      <c r="A7" s="161"/>
      <c r="B7" s="164"/>
      <c r="C7" s="167"/>
      <c r="D7" s="170"/>
      <c r="E7" s="173"/>
      <c r="G7" s="161"/>
      <c r="H7" s="164"/>
      <c r="I7" s="167"/>
      <c r="J7" s="170"/>
      <c r="K7" s="173"/>
      <c r="M7" s="161"/>
      <c r="N7" s="164"/>
      <c r="O7" s="167"/>
      <c r="P7" s="170"/>
      <c r="Q7" s="173"/>
    </row>
    <row r="8" spans="1:17" ht="15.75" customHeight="1" thickTop="1" thickBot="1" x14ac:dyDescent="0.25">
      <c r="A8" s="34">
        <v>1</v>
      </c>
      <c r="B8" s="48" t="s">
        <v>357</v>
      </c>
      <c r="C8" s="36">
        <v>336</v>
      </c>
      <c r="D8" s="40">
        <v>61</v>
      </c>
      <c r="E8" s="41">
        <v>275</v>
      </c>
      <c r="G8" s="34">
        <v>1</v>
      </c>
      <c r="H8" s="48" t="s">
        <v>70</v>
      </c>
      <c r="I8" s="36">
        <v>316</v>
      </c>
      <c r="J8" s="40">
        <v>55</v>
      </c>
      <c r="K8" s="41">
        <v>261</v>
      </c>
      <c r="M8" s="34">
        <v>1</v>
      </c>
      <c r="N8" s="48" t="s">
        <v>70</v>
      </c>
      <c r="O8" s="36">
        <v>336</v>
      </c>
      <c r="P8" s="40">
        <v>55</v>
      </c>
      <c r="Q8" s="41">
        <v>281</v>
      </c>
    </row>
    <row r="9" spans="1:17" ht="15.75" customHeight="1" thickBot="1" x14ac:dyDescent="0.25">
      <c r="A9" s="38">
        <v>2</v>
      </c>
      <c r="B9" s="49" t="s">
        <v>321</v>
      </c>
      <c r="C9" s="36">
        <v>326</v>
      </c>
      <c r="D9" s="40">
        <v>53</v>
      </c>
      <c r="E9" s="41">
        <v>273</v>
      </c>
      <c r="G9" s="38">
        <v>1</v>
      </c>
      <c r="H9" s="49" t="s">
        <v>357</v>
      </c>
      <c r="I9" s="36">
        <v>316</v>
      </c>
      <c r="J9" s="40">
        <v>61</v>
      </c>
      <c r="K9" s="41">
        <v>255</v>
      </c>
      <c r="M9" s="38">
        <v>2</v>
      </c>
      <c r="N9" s="49" t="s">
        <v>22</v>
      </c>
      <c r="O9" s="36">
        <v>333</v>
      </c>
      <c r="P9" s="40">
        <v>60</v>
      </c>
      <c r="Q9" s="41">
        <v>273</v>
      </c>
    </row>
    <row r="10" spans="1:17" ht="15.75" customHeight="1" thickBot="1" x14ac:dyDescent="0.25">
      <c r="A10" s="38">
        <v>3</v>
      </c>
      <c r="B10" s="49" t="s">
        <v>70</v>
      </c>
      <c r="C10" s="36">
        <v>316</v>
      </c>
      <c r="D10" s="40">
        <v>55</v>
      </c>
      <c r="E10" s="41">
        <v>261</v>
      </c>
      <c r="G10" s="38">
        <v>3</v>
      </c>
      <c r="H10" s="49" t="s">
        <v>22</v>
      </c>
      <c r="I10" s="36">
        <v>313</v>
      </c>
      <c r="J10" s="40">
        <v>60</v>
      </c>
      <c r="K10" s="41">
        <v>253</v>
      </c>
      <c r="M10" s="38">
        <v>3</v>
      </c>
      <c r="N10" s="49" t="s">
        <v>319</v>
      </c>
      <c r="O10" s="36">
        <v>323</v>
      </c>
      <c r="P10" s="40">
        <v>60</v>
      </c>
      <c r="Q10" s="41">
        <v>263</v>
      </c>
    </row>
    <row r="11" spans="1:17" ht="15.75" customHeight="1" thickBot="1" x14ac:dyDescent="0.25">
      <c r="A11" s="38">
        <v>4</v>
      </c>
      <c r="B11" s="49" t="s">
        <v>22</v>
      </c>
      <c r="C11" s="36">
        <v>313</v>
      </c>
      <c r="D11" s="40">
        <v>60</v>
      </c>
      <c r="E11" s="41">
        <v>253</v>
      </c>
      <c r="G11" s="38">
        <v>4</v>
      </c>
      <c r="H11" s="49" t="s">
        <v>341</v>
      </c>
      <c r="I11" s="36">
        <v>308</v>
      </c>
      <c r="J11" s="40">
        <v>58</v>
      </c>
      <c r="K11" s="41">
        <v>250</v>
      </c>
      <c r="M11" s="38">
        <v>4</v>
      </c>
      <c r="N11" s="49" t="s">
        <v>317</v>
      </c>
      <c r="O11" s="36">
        <v>322</v>
      </c>
      <c r="P11" s="40">
        <v>52</v>
      </c>
      <c r="Q11" s="41">
        <v>270</v>
      </c>
    </row>
    <row r="12" spans="1:17" ht="15.75" customHeight="1" thickBot="1" x14ac:dyDescent="0.25">
      <c r="A12" s="38">
        <v>5</v>
      </c>
      <c r="B12" s="49" t="s">
        <v>341</v>
      </c>
      <c r="C12" s="36">
        <v>308</v>
      </c>
      <c r="D12" s="40">
        <v>58</v>
      </c>
      <c r="E12" s="41">
        <v>250</v>
      </c>
      <c r="G12" s="38">
        <v>5</v>
      </c>
      <c r="H12" s="49" t="s">
        <v>282</v>
      </c>
      <c r="I12" s="36">
        <v>307</v>
      </c>
      <c r="J12" s="40">
        <v>51</v>
      </c>
      <c r="K12" s="41">
        <v>256</v>
      </c>
      <c r="M12" s="38">
        <v>5</v>
      </c>
      <c r="N12" s="49" t="s">
        <v>358</v>
      </c>
      <c r="O12" s="36">
        <v>321</v>
      </c>
      <c r="P12" s="40">
        <v>50</v>
      </c>
      <c r="Q12" s="41">
        <v>271</v>
      </c>
    </row>
    <row r="13" spans="1:17" ht="15.75" customHeight="1" thickBot="1" x14ac:dyDescent="0.25">
      <c r="A13" s="26">
        <v>6</v>
      </c>
      <c r="B13" s="50" t="s">
        <v>282</v>
      </c>
      <c r="C13" s="28">
        <v>307</v>
      </c>
      <c r="D13" s="43">
        <v>51</v>
      </c>
      <c r="E13" s="44">
        <v>256</v>
      </c>
      <c r="G13" s="26">
        <v>6</v>
      </c>
      <c r="H13" s="50" t="s">
        <v>321</v>
      </c>
      <c r="I13" s="28">
        <v>306</v>
      </c>
      <c r="J13" s="43">
        <v>53</v>
      </c>
      <c r="K13" s="44">
        <v>253</v>
      </c>
      <c r="M13" s="26">
        <v>6</v>
      </c>
      <c r="N13" s="50" t="s">
        <v>50</v>
      </c>
      <c r="O13" s="28">
        <v>318</v>
      </c>
      <c r="P13" s="43">
        <v>42</v>
      </c>
      <c r="Q13" s="44">
        <v>276</v>
      </c>
    </row>
    <row r="14" spans="1:17" ht="15.75" customHeight="1" thickBot="1" x14ac:dyDescent="0.25">
      <c r="A14" s="26">
        <v>7</v>
      </c>
      <c r="B14" s="50" t="s">
        <v>319</v>
      </c>
      <c r="C14" s="28">
        <v>303</v>
      </c>
      <c r="D14" s="43">
        <v>60</v>
      </c>
      <c r="E14" s="44">
        <v>243</v>
      </c>
      <c r="G14" s="26">
        <v>7</v>
      </c>
      <c r="H14" s="50" t="s">
        <v>319</v>
      </c>
      <c r="I14" s="28">
        <v>303</v>
      </c>
      <c r="J14" s="43">
        <v>60</v>
      </c>
      <c r="K14" s="44">
        <v>243</v>
      </c>
      <c r="M14" s="26">
        <v>7</v>
      </c>
      <c r="N14" s="50" t="s">
        <v>357</v>
      </c>
      <c r="O14" s="28">
        <v>316</v>
      </c>
      <c r="P14" s="43">
        <v>61</v>
      </c>
      <c r="Q14" s="44">
        <v>255</v>
      </c>
    </row>
    <row r="15" spans="1:17" ht="15.75" customHeight="1" thickBot="1" x14ac:dyDescent="0.25">
      <c r="A15" s="26">
        <v>8</v>
      </c>
      <c r="B15" s="50" t="s">
        <v>317</v>
      </c>
      <c r="C15" s="28">
        <v>302</v>
      </c>
      <c r="D15" s="43">
        <v>52</v>
      </c>
      <c r="E15" s="44">
        <v>250</v>
      </c>
      <c r="G15" s="26">
        <v>8</v>
      </c>
      <c r="H15" s="50" t="s">
        <v>317</v>
      </c>
      <c r="I15" s="28">
        <v>302</v>
      </c>
      <c r="J15" s="43">
        <v>52</v>
      </c>
      <c r="K15" s="44">
        <v>250</v>
      </c>
      <c r="M15" s="26">
        <v>8</v>
      </c>
      <c r="N15" s="50" t="s">
        <v>72</v>
      </c>
      <c r="O15" s="28">
        <v>312</v>
      </c>
      <c r="P15" s="43">
        <v>39</v>
      </c>
      <c r="Q15" s="44">
        <v>273</v>
      </c>
    </row>
    <row r="16" spans="1:17" ht="15.75" customHeight="1" thickBot="1" x14ac:dyDescent="0.25">
      <c r="A16" s="61">
        <v>9</v>
      </c>
      <c r="B16" s="62" t="s">
        <v>358</v>
      </c>
      <c r="C16" s="63">
        <v>301</v>
      </c>
      <c r="D16" s="64">
        <v>50</v>
      </c>
      <c r="E16" s="65">
        <v>251</v>
      </c>
      <c r="G16" s="61">
        <v>9</v>
      </c>
      <c r="H16" s="62" t="s">
        <v>358</v>
      </c>
      <c r="I16" s="63">
        <v>301</v>
      </c>
      <c r="J16" s="64">
        <v>50</v>
      </c>
      <c r="K16" s="65">
        <v>251</v>
      </c>
      <c r="M16" s="61">
        <v>9</v>
      </c>
      <c r="N16" s="62" t="s">
        <v>341</v>
      </c>
      <c r="O16" s="63">
        <v>308</v>
      </c>
      <c r="P16" s="64">
        <v>58</v>
      </c>
      <c r="Q16" s="65">
        <v>250</v>
      </c>
    </row>
    <row r="17" spans="1:18" ht="12.75" customHeight="1" thickTop="1" x14ac:dyDescent="0.2">
      <c r="A17" s="57"/>
      <c r="B17" s="58"/>
      <c r="C17" s="59"/>
      <c r="D17" s="60"/>
      <c r="E17" s="60"/>
      <c r="G17" s="57"/>
      <c r="H17" s="58"/>
      <c r="I17" s="59"/>
      <c r="J17" s="60"/>
      <c r="K17" s="60"/>
      <c r="M17" s="57"/>
      <c r="N17" s="58"/>
      <c r="O17" s="59"/>
      <c r="P17" s="60"/>
      <c r="Q17" s="60"/>
    </row>
    <row r="18" spans="1:18" ht="12.75" customHeight="1" x14ac:dyDescent="0.2">
      <c r="A18" s="66"/>
      <c r="B18" s="66" t="s">
        <v>368</v>
      </c>
      <c r="C18" s="157" t="s">
        <v>80</v>
      </c>
      <c r="D18" s="157"/>
      <c r="E18" s="66"/>
      <c r="F18" s="67"/>
      <c r="G18" s="66"/>
      <c r="H18" s="66" t="s">
        <v>368</v>
      </c>
      <c r="I18" s="157" t="s">
        <v>80</v>
      </c>
      <c r="J18" s="157"/>
      <c r="K18" s="66"/>
      <c r="L18" s="67"/>
      <c r="M18" s="66"/>
      <c r="N18" s="66" t="s">
        <v>368</v>
      </c>
      <c r="O18" s="157" t="s">
        <v>80</v>
      </c>
      <c r="P18" s="157"/>
      <c r="Q18" s="66"/>
      <c r="R18" s="67"/>
    </row>
    <row r="19" spans="1:18" ht="12.75" customHeight="1" x14ac:dyDescent="0.35">
      <c r="A19" s="56"/>
      <c r="B19" s="158">
        <v>0</v>
      </c>
      <c r="C19" s="158">
        <v>0</v>
      </c>
      <c r="D19" s="158"/>
      <c r="E19" s="56"/>
      <c r="G19" s="56"/>
      <c r="H19" s="158">
        <v>1</v>
      </c>
      <c r="I19" s="158">
        <v>1</v>
      </c>
      <c r="J19" s="158"/>
      <c r="K19" s="56"/>
      <c r="M19" s="56"/>
      <c r="N19" s="158">
        <v>2</v>
      </c>
      <c r="O19" s="158">
        <v>2</v>
      </c>
      <c r="P19" s="158"/>
      <c r="Q19" s="56"/>
    </row>
    <row r="20" spans="1:18" ht="12.75" customHeight="1" x14ac:dyDescent="0.35">
      <c r="A20" s="56"/>
      <c r="B20" s="158"/>
      <c r="C20" s="158"/>
      <c r="D20" s="158"/>
      <c r="E20" s="56"/>
      <c r="G20" s="56"/>
      <c r="H20" s="158"/>
      <c r="I20" s="158"/>
      <c r="J20" s="158"/>
      <c r="K20" s="56"/>
      <c r="M20" s="56"/>
      <c r="N20" s="158"/>
      <c r="O20" s="158"/>
      <c r="P20" s="158"/>
      <c r="Q20" s="56"/>
    </row>
    <row r="21" spans="1:18" ht="5.25" customHeight="1" thickBot="1" x14ac:dyDescent="0.25"/>
    <row r="22" spans="1:18" ht="12.75" customHeight="1" thickTop="1" x14ac:dyDescent="0.2">
      <c r="A22" s="159" t="s">
        <v>75</v>
      </c>
      <c r="B22" s="162" t="s">
        <v>76</v>
      </c>
      <c r="C22" s="165" t="s">
        <v>77</v>
      </c>
      <c r="D22" s="168" t="s">
        <v>78</v>
      </c>
      <c r="E22" s="171" t="s">
        <v>79</v>
      </c>
      <c r="G22" s="159" t="s">
        <v>75</v>
      </c>
      <c r="H22" s="162" t="s">
        <v>76</v>
      </c>
      <c r="I22" s="165" t="s">
        <v>77</v>
      </c>
      <c r="J22" s="168" t="s">
        <v>78</v>
      </c>
      <c r="K22" s="171" t="s">
        <v>79</v>
      </c>
      <c r="M22" s="159" t="s">
        <v>75</v>
      </c>
      <c r="N22" s="162" t="s">
        <v>76</v>
      </c>
      <c r="O22" s="165" t="s">
        <v>77</v>
      </c>
      <c r="P22" s="168" t="s">
        <v>78</v>
      </c>
      <c r="Q22" s="171" t="s">
        <v>79</v>
      </c>
    </row>
    <row r="23" spans="1:18" ht="12.75" customHeight="1" x14ac:dyDescent="0.2">
      <c r="A23" s="160"/>
      <c r="B23" s="163"/>
      <c r="C23" s="166"/>
      <c r="D23" s="169"/>
      <c r="E23" s="172"/>
      <c r="G23" s="160"/>
      <c r="H23" s="163"/>
      <c r="I23" s="166"/>
      <c r="J23" s="169"/>
      <c r="K23" s="172"/>
      <c r="M23" s="160"/>
      <c r="N23" s="163"/>
      <c r="O23" s="166"/>
      <c r="P23" s="169"/>
      <c r="Q23" s="172"/>
    </row>
    <row r="24" spans="1:18" ht="12.75" customHeight="1" thickBot="1" x14ac:dyDescent="0.25">
      <c r="A24" s="161"/>
      <c r="B24" s="164"/>
      <c r="C24" s="167"/>
      <c r="D24" s="170"/>
      <c r="E24" s="173"/>
      <c r="G24" s="161"/>
      <c r="H24" s="164"/>
      <c r="I24" s="167"/>
      <c r="J24" s="170"/>
      <c r="K24" s="173"/>
      <c r="M24" s="161"/>
      <c r="N24" s="164"/>
      <c r="O24" s="167"/>
      <c r="P24" s="170"/>
      <c r="Q24" s="173"/>
    </row>
    <row r="25" spans="1:18" ht="15.75" customHeight="1" thickTop="1" thickBot="1" x14ac:dyDescent="0.25">
      <c r="A25" s="34">
        <v>1</v>
      </c>
      <c r="B25" s="48" t="s">
        <v>70</v>
      </c>
      <c r="C25" s="36">
        <v>316</v>
      </c>
      <c r="D25" s="40">
        <v>55</v>
      </c>
      <c r="E25" s="41">
        <v>261</v>
      </c>
      <c r="G25" s="34">
        <v>1</v>
      </c>
      <c r="H25" s="48" t="s">
        <v>249</v>
      </c>
      <c r="I25" s="36">
        <v>319</v>
      </c>
      <c r="J25" s="40">
        <v>56</v>
      </c>
      <c r="K25" s="41">
        <v>263</v>
      </c>
      <c r="M25" s="34">
        <v>1</v>
      </c>
      <c r="N25" s="48" t="s">
        <v>282</v>
      </c>
      <c r="O25" s="36">
        <v>327</v>
      </c>
      <c r="P25" s="40">
        <v>51</v>
      </c>
      <c r="Q25" s="41">
        <v>276</v>
      </c>
    </row>
    <row r="26" spans="1:18" ht="15.75" customHeight="1" thickBot="1" x14ac:dyDescent="0.25">
      <c r="A26" s="38">
        <v>1</v>
      </c>
      <c r="B26" s="49" t="s">
        <v>357</v>
      </c>
      <c r="C26" s="36">
        <v>316</v>
      </c>
      <c r="D26" s="40">
        <v>61</v>
      </c>
      <c r="E26" s="41">
        <v>255</v>
      </c>
      <c r="G26" s="38">
        <v>2</v>
      </c>
      <c r="H26" s="49" t="s">
        <v>70</v>
      </c>
      <c r="I26" s="36">
        <v>316</v>
      </c>
      <c r="J26" s="40">
        <v>55</v>
      </c>
      <c r="K26" s="41">
        <v>261</v>
      </c>
      <c r="M26" s="38">
        <v>2</v>
      </c>
      <c r="N26" s="49" t="s">
        <v>70</v>
      </c>
      <c r="O26" s="36">
        <v>316</v>
      </c>
      <c r="P26" s="40">
        <v>55</v>
      </c>
      <c r="Q26" s="41">
        <v>261</v>
      </c>
    </row>
    <row r="27" spans="1:18" ht="15.75" customHeight="1" thickBot="1" x14ac:dyDescent="0.25">
      <c r="A27" s="38">
        <v>3</v>
      </c>
      <c r="B27" s="49" t="s">
        <v>22</v>
      </c>
      <c r="C27" s="36">
        <v>313</v>
      </c>
      <c r="D27" s="40">
        <v>60</v>
      </c>
      <c r="E27" s="41">
        <v>253</v>
      </c>
      <c r="G27" s="38">
        <v>2</v>
      </c>
      <c r="H27" s="49" t="s">
        <v>357</v>
      </c>
      <c r="I27" s="36">
        <v>316</v>
      </c>
      <c r="J27" s="40">
        <v>61</v>
      </c>
      <c r="K27" s="41">
        <v>255</v>
      </c>
      <c r="M27" s="38">
        <v>2</v>
      </c>
      <c r="N27" s="49" t="s">
        <v>357</v>
      </c>
      <c r="O27" s="36">
        <v>316</v>
      </c>
      <c r="P27" s="40">
        <v>61</v>
      </c>
      <c r="Q27" s="41">
        <v>255</v>
      </c>
    </row>
    <row r="28" spans="1:18" ht="15.75" customHeight="1" thickBot="1" x14ac:dyDescent="0.25">
      <c r="A28" s="38">
        <v>4</v>
      </c>
      <c r="B28" s="49" t="s">
        <v>341</v>
      </c>
      <c r="C28" s="36">
        <v>308</v>
      </c>
      <c r="D28" s="40">
        <v>58</v>
      </c>
      <c r="E28" s="41">
        <v>250</v>
      </c>
      <c r="G28" s="38">
        <v>4</v>
      </c>
      <c r="H28" s="49" t="s">
        <v>22</v>
      </c>
      <c r="I28" s="36">
        <v>313</v>
      </c>
      <c r="J28" s="40">
        <v>60</v>
      </c>
      <c r="K28" s="41">
        <v>253</v>
      </c>
      <c r="M28" s="38">
        <v>4</v>
      </c>
      <c r="N28" s="49" t="s">
        <v>22</v>
      </c>
      <c r="O28" s="36">
        <v>313</v>
      </c>
      <c r="P28" s="40">
        <v>60</v>
      </c>
      <c r="Q28" s="41">
        <v>253</v>
      </c>
    </row>
    <row r="29" spans="1:18" ht="15.75" customHeight="1" thickBot="1" x14ac:dyDescent="0.25">
      <c r="A29" s="38">
        <v>5</v>
      </c>
      <c r="B29" s="49" t="s">
        <v>282</v>
      </c>
      <c r="C29" s="36">
        <v>307</v>
      </c>
      <c r="D29" s="40">
        <v>51</v>
      </c>
      <c r="E29" s="41">
        <v>256</v>
      </c>
      <c r="G29" s="38">
        <v>5</v>
      </c>
      <c r="H29" s="49" t="s">
        <v>341</v>
      </c>
      <c r="I29" s="36">
        <v>308</v>
      </c>
      <c r="J29" s="40">
        <v>58</v>
      </c>
      <c r="K29" s="41">
        <v>250</v>
      </c>
      <c r="M29" s="38">
        <v>5</v>
      </c>
      <c r="N29" s="49" t="s">
        <v>341</v>
      </c>
      <c r="O29" s="36">
        <v>308</v>
      </c>
      <c r="P29" s="40">
        <v>58</v>
      </c>
      <c r="Q29" s="41">
        <v>250</v>
      </c>
    </row>
    <row r="30" spans="1:18" ht="15.75" customHeight="1" thickBot="1" x14ac:dyDescent="0.25">
      <c r="A30" s="26">
        <v>6</v>
      </c>
      <c r="B30" s="50" t="s">
        <v>321</v>
      </c>
      <c r="C30" s="28">
        <v>306</v>
      </c>
      <c r="D30" s="43">
        <v>53</v>
      </c>
      <c r="E30" s="44">
        <v>253</v>
      </c>
      <c r="G30" s="26">
        <v>6</v>
      </c>
      <c r="H30" s="50" t="s">
        <v>282</v>
      </c>
      <c r="I30" s="28">
        <v>307</v>
      </c>
      <c r="J30" s="43">
        <v>51</v>
      </c>
      <c r="K30" s="44">
        <v>256</v>
      </c>
      <c r="M30" s="26">
        <v>6</v>
      </c>
      <c r="N30" s="50" t="s">
        <v>321</v>
      </c>
      <c r="O30" s="28">
        <v>306</v>
      </c>
      <c r="P30" s="43">
        <v>53</v>
      </c>
      <c r="Q30" s="44">
        <v>253</v>
      </c>
    </row>
    <row r="31" spans="1:18" ht="15.75" customHeight="1" thickBot="1" x14ac:dyDescent="0.25">
      <c r="A31" s="26">
        <v>7</v>
      </c>
      <c r="B31" s="50" t="s">
        <v>319</v>
      </c>
      <c r="C31" s="28">
        <v>303</v>
      </c>
      <c r="D31" s="43">
        <v>60</v>
      </c>
      <c r="E31" s="44">
        <v>243</v>
      </c>
      <c r="G31" s="26">
        <v>7</v>
      </c>
      <c r="H31" s="50" t="s">
        <v>321</v>
      </c>
      <c r="I31" s="28">
        <v>306</v>
      </c>
      <c r="J31" s="43">
        <v>53</v>
      </c>
      <c r="K31" s="44">
        <v>253</v>
      </c>
      <c r="M31" s="26">
        <v>7</v>
      </c>
      <c r="N31" s="50" t="s">
        <v>319</v>
      </c>
      <c r="O31" s="28">
        <v>303</v>
      </c>
      <c r="P31" s="43">
        <v>60</v>
      </c>
      <c r="Q31" s="44">
        <v>243</v>
      </c>
    </row>
    <row r="32" spans="1:18" ht="15.75" customHeight="1" thickBot="1" x14ac:dyDescent="0.25">
      <c r="A32" s="26">
        <v>8</v>
      </c>
      <c r="B32" s="50" t="s">
        <v>317</v>
      </c>
      <c r="C32" s="28">
        <v>302</v>
      </c>
      <c r="D32" s="43">
        <v>52</v>
      </c>
      <c r="E32" s="44">
        <v>250</v>
      </c>
      <c r="G32" s="26">
        <v>8</v>
      </c>
      <c r="H32" s="50" t="s">
        <v>32</v>
      </c>
      <c r="I32" s="28">
        <v>303</v>
      </c>
      <c r="J32" s="43">
        <v>35</v>
      </c>
      <c r="K32" s="44">
        <v>268</v>
      </c>
      <c r="M32" s="26">
        <v>8</v>
      </c>
      <c r="N32" s="50" t="s">
        <v>317</v>
      </c>
      <c r="O32" s="28">
        <v>302</v>
      </c>
      <c r="P32" s="43">
        <v>52</v>
      </c>
      <c r="Q32" s="44">
        <v>250</v>
      </c>
    </row>
    <row r="33" spans="1:18" ht="15.75" customHeight="1" thickBot="1" x14ac:dyDescent="0.25">
      <c r="A33" s="61">
        <v>9</v>
      </c>
      <c r="B33" s="62" t="s">
        <v>358</v>
      </c>
      <c r="C33" s="63">
        <v>301</v>
      </c>
      <c r="D33" s="64">
        <v>50</v>
      </c>
      <c r="E33" s="65">
        <v>251</v>
      </c>
      <c r="G33" s="61">
        <v>8</v>
      </c>
      <c r="H33" s="62" t="s">
        <v>319</v>
      </c>
      <c r="I33" s="63">
        <v>303</v>
      </c>
      <c r="J33" s="64">
        <v>60</v>
      </c>
      <c r="K33" s="65">
        <v>243</v>
      </c>
      <c r="M33" s="61">
        <v>9</v>
      </c>
      <c r="N33" s="62" t="s">
        <v>358</v>
      </c>
      <c r="O33" s="63">
        <v>301</v>
      </c>
      <c r="P33" s="64">
        <v>50</v>
      </c>
      <c r="Q33" s="65">
        <v>251</v>
      </c>
    </row>
    <row r="34" spans="1:18" ht="13.5" thickTop="1" x14ac:dyDescent="0.2"/>
    <row r="35" spans="1:18" ht="12.75" customHeight="1" x14ac:dyDescent="0.2">
      <c r="A35" s="66"/>
      <c r="B35" s="66" t="s">
        <v>368</v>
      </c>
      <c r="C35" s="157" t="s">
        <v>80</v>
      </c>
      <c r="D35" s="157"/>
      <c r="E35" s="66"/>
      <c r="F35" s="67"/>
      <c r="G35" s="66"/>
      <c r="H35" s="66" t="s">
        <v>368</v>
      </c>
      <c r="I35" s="157" t="s">
        <v>80</v>
      </c>
      <c r="J35" s="157"/>
      <c r="K35" s="66"/>
      <c r="L35" s="67"/>
      <c r="M35" s="66"/>
      <c r="N35" s="66" t="s">
        <v>368</v>
      </c>
      <c r="O35" s="157" t="s">
        <v>80</v>
      </c>
      <c r="P35" s="157"/>
      <c r="Q35" s="66"/>
      <c r="R35" s="67"/>
    </row>
    <row r="36" spans="1:18" ht="12.75" customHeight="1" x14ac:dyDescent="0.35">
      <c r="A36" s="56"/>
      <c r="B36" s="158">
        <v>3</v>
      </c>
      <c r="C36" s="158">
        <v>0</v>
      </c>
      <c r="D36" s="158"/>
      <c r="E36" s="56"/>
      <c r="G36" s="56"/>
      <c r="H36" s="158">
        <v>3</v>
      </c>
      <c r="I36" s="158">
        <v>1</v>
      </c>
      <c r="J36" s="158"/>
      <c r="K36" s="56"/>
      <c r="M36" s="56"/>
      <c r="N36" s="158">
        <v>3</v>
      </c>
      <c r="O36" s="158">
        <v>2</v>
      </c>
      <c r="P36" s="158"/>
      <c r="Q36" s="56"/>
    </row>
    <row r="37" spans="1:18" ht="12.75" customHeight="1" x14ac:dyDescent="0.35">
      <c r="A37" s="56"/>
      <c r="B37" s="158"/>
      <c r="C37" s="158"/>
      <c r="D37" s="158"/>
      <c r="E37" s="56"/>
      <c r="G37" s="56"/>
      <c r="H37" s="158"/>
      <c r="I37" s="158"/>
      <c r="J37" s="158"/>
      <c r="K37" s="56"/>
      <c r="M37" s="56"/>
      <c r="N37" s="158"/>
      <c r="O37" s="158"/>
      <c r="P37" s="158"/>
      <c r="Q37" s="56"/>
    </row>
    <row r="38" spans="1:18" ht="5.25" customHeight="1" thickBot="1" x14ac:dyDescent="0.25"/>
    <row r="39" spans="1:18" ht="12.75" customHeight="1" thickTop="1" x14ac:dyDescent="0.2">
      <c r="A39" s="159" t="s">
        <v>75</v>
      </c>
      <c r="B39" s="162" t="s">
        <v>76</v>
      </c>
      <c r="C39" s="165" t="s">
        <v>77</v>
      </c>
      <c r="D39" s="168" t="s">
        <v>78</v>
      </c>
      <c r="E39" s="171" t="s">
        <v>79</v>
      </c>
      <c r="G39" s="159" t="s">
        <v>75</v>
      </c>
      <c r="H39" s="162" t="s">
        <v>76</v>
      </c>
      <c r="I39" s="165" t="s">
        <v>77</v>
      </c>
      <c r="J39" s="168" t="s">
        <v>78</v>
      </c>
      <c r="K39" s="171" t="s">
        <v>79</v>
      </c>
      <c r="M39" s="159" t="s">
        <v>75</v>
      </c>
      <c r="N39" s="162" t="s">
        <v>76</v>
      </c>
      <c r="O39" s="165" t="s">
        <v>77</v>
      </c>
      <c r="P39" s="168" t="s">
        <v>78</v>
      </c>
      <c r="Q39" s="171" t="s">
        <v>79</v>
      </c>
    </row>
    <row r="40" spans="1:18" ht="12.75" customHeight="1" x14ac:dyDescent="0.2">
      <c r="A40" s="160"/>
      <c r="B40" s="163"/>
      <c r="C40" s="166"/>
      <c r="D40" s="169"/>
      <c r="E40" s="172"/>
      <c r="G40" s="160"/>
      <c r="H40" s="163"/>
      <c r="I40" s="166"/>
      <c r="J40" s="169"/>
      <c r="K40" s="172"/>
      <c r="M40" s="160"/>
      <c r="N40" s="163"/>
      <c r="O40" s="166"/>
      <c r="P40" s="169"/>
      <c r="Q40" s="172"/>
    </row>
    <row r="41" spans="1:18" ht="12.75" customHeight="1" thickBot="1" x14ac:dyDescent="0.25">
      <c r="A41" s="161"/>
      <c r="B41" s="164"/>
      <c r="C41" s="167"/>
      <c r="D41" s="170"/>
      <c r="E41" s="173"/>
      <c r="G41" s="161"/>
      <c r="H41" s="164"/>
      <c r="I41" s="167"/>
      <c r="J41" s="170"/>
      <c r="K41" s="173"/>
      <c r="M41" s="161"/>
      <c r="N41" s="164"/>
      <c r="O41" s="167"/>
      <c r="P41" s="170"/>
      <c r="Q41" s="173"/>
    </row>
    <row r="42" spans="1:18" ht="15.75" customHeight="1" thickTop="1" thickBot="1" x14ac:dyDescent="0.25">
      <c r="A42" s="34">
        <v>1</v>
      </c>
      <c r="B42" s="48" t="s">
        <v>70</v>
      </c>
      <c r="C42" s="36">
        <v>316</v>
      </c>
      <c r="D42" s="40">
        <v>55</v>
      </c>
      <c r="E42" s="41">
        <v>261</v>
      </c>
      <c r="G42" s="34">
        <v>1</v>
      </c>
      <c r="H42" s="48" t="s">
        <v>341</v>
      </c>
      <c r="I42" s="36">
        <v>328</v>
      </c>
      <c r="J42" s="40">
        <v>58</v>
      </c>
      <c r="K42" s="41">
        <v>270</v>
      </c>
      <c r="M42" s="34">
        <v>1</v>
      </c>
      <c r="N42" s="48" t="s">
        <v>70</v>
      </c>
      <c r="O42" s="36">
        <v>316</v>
      </c>
      <c r="P42" s="40">
        <v>55</v>
      </c>
      <c r="Q42" s="41">
        <v>261</v>
      </c>
    </row>
    <row r="43" spans="1:18" ht="15.75" customHeight="1" thickBot="1" x14ac:dyDescent="0.25">
      <c r="A43" s="38">
        <v>1</v>
      </c>
      <c r="B43" s="49" t="s">
        <v>357</v>
      </c>
      <c r="C43" s="36">
        <v>316</v>
      </c>
      <c r="D43" s="40">
        <v>61</v>
      </c>
      <c r="E43" s="41">
        <v>255</v>
      </c>
      <c r="G43" s="38">
        <v>2</v>
      </c>
      <c r="H43" s="49" t="s">
        <v>70</v>
      </c>
      <c r="I43" s="36">
        <v>316</v>
      </c>
      <c r="J43" s="40">
        <v>55</v>
      </c>
      <c r="K43" s="41">
        <v>261</v>
      </c>
      <c r="M43" s="38">
        <v>1</v>
      </c>
      <c r="N43" s="49" t="s">
        <v>357</v>
      </c>
      <c r="O43" s="36">
        <v>316</v>
      </c>
      <c r="P43" s="40">
        <v>61</v>
      </c>
      <c r="Q43" s="41">
        <v>255</v>
      </c>
    </row>
    <row r="44" spans="1:18" ht="15.75" customHeight="1" thickBot="1" x14ac:dyDescent="0.25">
      <c r="A44" s="38">
        <v>3</v>
      </c>
      <c r="B44" s="49" t="s">
        <v>22</v>
      </c>
      <c r="C44" s="36">
        <v>313</v>
      </c>
      <c r="D44" s="40">
        <v>60</v>
      </c>
      <c r="E44" s="41">
        <v>253</v>
      </c>
      <c r="G44" s="38">
        <v>2</v>
      </c>
      <c r="H44" s="49" t="s">
        <v>357</v>
      </c>
      <c r="I44" s="36">
        <v>316</v>
      </c>
      <c r="J44" s="40">
        <v>61</v>
      </c>
      <c r="K44" s="41">
        <v>255</v>
      </c>
      <c r="M44" s="38">
        <v>3</v>
      </c>
      <c r="N44" s="49" t="s">
        <v>22</v>
      </c>
      <c r="O44" s="36">
        <v>313</v>
      </c>
      <c r="P44" s="40">
        <v>60</v>
      </c>
      <c r="Q44" s="41">
        <v>253</v>
      </c>
    </row>
    <row r="45" spans="1:18" ht="15.75" customHeight="1" thickBot="1" x14ac:dyDescent="0.25">
      <c r="A45" s="38">
        <v>4</v>
      </c>
      <c r="B45" s="49" t="s">
        <v>341</v>
      </c>
      <c r="C45" s="36">
        <v>308</v>
      </c>
      <c r="D45" s="40">
        <v>58</v>
      </c>
      <c r="E45" s="41">
        <v>250</v>
      </c>
      <c r="G45" s="38">
        <v>4</v>
      </c>
      <c r="H45" s="49" t="s">
        <v>22</v>
      </c>
      <c r="I45" s="36">
        <v>313</v>
      </c>
      <c r="J45" s="40">
        <v>60</v>
      </c>
      <c r="K45" s="41">
        <v>253</v>
      </c>
      <c r="M45" s="38">
        <v>4</v>
      </c>
      <c r="N45" s="49" t="s">
        <v>341</v>
      </c>
      <c r="O45" s="36">
        <v>308</v>
      </c>
      <c r="P45" s="40">
        <v>58</v>
      </c>
      <c r="Q45" s="41">
        <v>250</v>
      </c>
    </row>
    <row r="46" spans="1:18" ht="15.75" customHeight="1" thickBot="1" x14ac:dyDescent="0.25">
      <c r="A46" s="38">
        <v>5</v>
      </c>
      <c r="B46" s="49" t="s">
        <v>282</v>
      </c>
      <c r="C46" s="36">
        <v>307</v>
      </c>
      <c r="D46" s="40">
        <v>51</v>
      </c>
      <c r="E46" s="41">
        <v>256</v>
      </c>
      <c r="G46" s="38">
        <v>5</v>
      </c>
      <c r="H46" s="49" t="s">
        <v>282</v>
      </c>
      <c r="I46" s="36">
        <v>307</v>
      </c>
      <c r="J46" s="40">
        <v>51</v>
      </c>
      <c r="K46" s="41">
        <v>256</v>
      </c>
      <c r="M46" s="38">
        <v>5</v>
      </c>
      <c r="N46" s="49" t="s">
        <v>282</v>
      </c>
      <c r="O46" s="36">
        <v>307</v>
      </c>
      <c r="P46" s="40">
        <v>51</v>
      </c>
      <c r="Q46" s="41">
        <v>256</v>
      </c>
    </row>
    <row r="47" spans="1:18" ht="15.75" customHeight="1" thickBot="1" x14ac:dyDescent="0.25">
      <c r="A47" s="26">
        <v>6</v>
      </c>
      <c r="B47" s="50" t="s">
        <v>321</v>
      </c>
      <c r="C47" s="28">
        <v>306</v>
      </c>
      <c r="D47" s="43">
        <v>53</v>
      </c>
      <c r="E47" s="44">
        <v>253</v>
      </c>
      <c r="G47" s="26">
        <v>6</v>
      </c>
      <c r="H47" s="50" t="s">
        <v>321</v>
      </c>
      <c r="I47" s="28">
        <v>306</v>
      </c>
      <c r="J47" s="43">
        <v>53</v>
      </c>
      <c r="K47" s="44">
        <v>253</v>
      </c>
      <c r="M47" s="26">
        <v>6</v>
      </c>
      <c r="N47" s="50" t="s">
        <v>321</v>
      </c>
      <c r="O47" s="28">
        <v>306</v>
      </c>
      <c r="P47" s="43">
        <v>53</v>
      </c>
      <c r="Q47" s="44">
        <v>253</v>
      </c>
    </row>
    <row r="48" spans="1:18" ht="15.75" customHeight="1" thickBot="1" x14ac:dyDescent="0.25">
      <c r="A48" s="26">
        <v>7</v>
      </c>
      <c r="B48" s="50" t="s">
        <v>319</v>
      </c>
      <c r="C48" s="28">
        <v>303</v>
      </c>
      <c r="D48" s="43">
        <v>60</v>
      </c>
      <c r="E48" s="44">
        <v>243</v>
      </c>
      <c r="G48" s="26">
        <v>7</v>
      </c>
      <c r="H48" s="50" t="s">
        <v>304</v>
      </c>
      <c r="I48" s="28">
        <v>303</v>
      </c>
      <c r="J48" s="43">
        <v>50</v>
      </c>
      <c r="K48" s="44">
        <v>253</v>
      </c>
      <c r="M48" s="26">
        <v>7</v>
      </c>
      <c r="N48" s="50" t="s">
        <v>319</v>
      </c>
      <c r="O48" s="28">
        <v>303</v>
      </c>
      <c r="P48" s="43">
        <v>60</v>
      </c>
      <c r="Q48" s="44">
        <v>243</v>
      </c>
    </row>
    <row r="49" spans="1:18" ht="15.75" customHeight="1" thickBot="1" x14ac:dyDescent="0.25">
      <c r="A49" s="26">
        <v>8</v>
      </c>
      <c r="B49" s="50" t="s">
        <v>317</v>
      </c>
      <c r="C49" s="28">
        <v>302</v>
      </c>
      <c r="D49" s="43">
        <v>52</v>
      </c>
      <c r="E49" s="44">
        <v>250</v>
      </c>
      <c r="G49" s="26">
        <v>7</v>
      </c>
      <c r="H49" s="50" t="s">
        <v>319</v>
      </c>
      <c r="I49" s="28">
        <v>303</v>
      </c>
      <c r="J49" s="43">
        <v>60</v>
      </c>
      <c r="K49" s="44">
        <v>243</v>
      </c>
      <c r="M49" s="26">
        <v>8</v>
      </c>
      <c r="N49" s="50" t="s">
        <v>317</v>
      </c>
      <c r="O49" s="28">
        <v>302</v>
      </c>
      <c r="P49" s="43">
        <v>52</v>
      </c>
      <c r="Q49" s="44">
        <v>250</v>
      </c>
    </row>
    <row r="50" spans="1:18" ht="15.75" customHeight="1" thickBot="1" x14ac:dyDescent="0.25">
      <c r="A50" s="61">
        <v>9</v>
      </c>
      <c r="B50" s="62" t="s">
        <v>358</v>
      </c>
      <c r="C50" s="63">
        <v>301</v>
      </c>
      <c r="D50" s="64">
        <v>50</v>
      </c>
      <c r="E50" s="65">
        <v>251</v>
      </c>
      <c r="G50" s="61">
        <v>9</v>
      </c>
      <c r="H50" s="62" t="s">
        <v>317</v>
      </c>
      <c r="I50" s="63">
        <v>302</v>
      </c>
      <c r="J50" s="64">
        <v>52</v>
      </c>
      <c r="K50" s="65">
        <v>250</v>
      </c>
      <c r="M50" s="61">
        <v>9</v>
      </c>
      <c r="N50" s="62" t="s">
        <v>358</v>
      </c>
      <c r="O50" s="63">
        <v>301</v>
      </c>
      <c r="P50" s="64">
        <v>50</v>
      </c>
      <c r="Q50" s="65">
        <v>251</v>
      </c>
    </row>
    <row r="51" spans="1:18" ht="13.5" thickTop="1" x14ac:dyDescent="0.2"/>
    <row r="52" spans="1:18" ht="12.75" customHeight="1" x14ac:dyDescent="0.2">
      <c r="A52" s="66"/>
      <c r="B52" s="66" t="s">
        <v>368</v>
      </c>
      <c r="C52" s="157" t="s">
        <v>80</v>
      </c>
      <c r="D52" s="157"/>
      <c r="E52" s="66"/>
      <c r="F52" s="67"/>
      <c r="G52" s="66"/>
      <c r="H52" s="66"/>
      <c r="I52" s="157"/>
      <c r="J52" s="157"/>
      <c r="K52" s="66"/>
      <c r="L52" s="67"/>
      <c r="M52" s="66"/>
      <c r="N52" s="66"/>
      <c r="O52" s="157"/>
      <c r="P52" s="157"/>
      <c r="Q52" s="66"/>
      <c r="R52" s="67"/>
    </row>
    <row r="53" spans="1:18" ht="12.75" customHeight="1" x14ac:dyDescent="0.35">
      <c r="A53" s="56"/>
      <c r="B53" s="158">
        <v>3</v>
      </c>
      <c r="C53" s="158">
        <v>3</v>
      </c>
      <c r="D53" s="158"/>
      <c r="E53" s="56"/>
      <c r="G53" s="56"/>
      <c r="H53" s="158"/>
      <c r="I53" s="158"/>
      <c r="J53" s="158"/>
      <c r="K53" s="56"/>
      <c r="M53" s="56"/>
      <c r="N53" s="158"/>
      <c r="O53" s="158"/>
      <c r="P53" s="158"/>
      <c r="Q53" s="56"/>
    </row>
    <row r="54" spans="1:18" ht="12.75" customHeight="1" x14ac:dyDescent="0.35">
      <c r="A54" s="56"/>
      <c r="B54" s="158"/>
      <c r="C54" s="158"/>
      <c r="D54" s="158"/>
      <c r="E54" s="56"/>
      <c r="G54" s="56"/>
      <c r="H54" s="158"/>
      <c r="I54" s="158"/>
      <c r="J54" s="158"/>
      <c r="K54" s="56"/>
      <c r="M54" s="56"/>
      <c r="N54" s="158"/>
      <c r="O54" s="158"/>
      <c r="P54" s="158"/>
      <c r="Q54" s="56"/>
    </row>
    <row r="55" spans="1:18" ht="5.25" customHeight="1" thickBot="1" x14ac:dyDescent="0.25"/>
    <row r="56" spans="1:18" ht="12.75" customHeight="1" thickTop="1" x14ac:dyDescent="0.2">
      <c r="A56" s="159" t="s">
        <v>75</v>
      </c>
      <c r="B56" s="162" t="s">
        <v>76</v>
      </c>
      <c r="C56" s="165" t="s">
        <v>77</v>
      </c>
      <c r="D56" s="168" t="s">
        <v>78</v>
      </c>
      <c r="E56" s="171" t="s">
        <v>79</v>
      </c>
      <c r="G56" s="174"/>
      <c r="H56" s="177"/>
      <c r="I56" s="175"/>
      <c r="J56" s="176"/>
      <c r="K56" s="176"/>
      <c r="M56" s="174"/>
      <c r="N56" s="177"/>
      <c r="O56" s="175"/>
      <c r="P56" s="176"/>
      <c r="Q56" s="176"/>
    </row>
    <row r="57" spans="1:18" ht="12.75" customHeight="1" x14ac:dyDescent="0.2">
      <c r="A57" s="160"/>
      <c r="B57" s="163"/>
      <c r="C57" s="166"/>
      <c r="D57" s="169"/>
      <c r="E57" s="172"/>
      <c r="G57" s="174"/>
      <c r="H57" s="177"/>
      <c r="I57" s="175"/>
      <c r="J57" s="176"/>
      <c r="K57" s="176"/>
      <c r="M57" s="174"/>
      <c r="N57" s="177"/>
      <c r="O57" s="175"/>
      <c r="P57" s="176"/>
      <c r="Q57" s="176"/>
    </row>
    <row r="58" spans="1:18" ht="12.75" customHeight="1" thickBot="1" x14ac:dyDescent="0.25">
      <c r="A58" s="161"/>
      <c r="B58" s="164"/>
      <c r="C58" s="167"/>
      <c r="D58" s="170"/>
      <c r="E58" s="173"/>
      <c r="G58" s="174"/>
      <c r="H58" s="177"/>
      <c r="I58" s="175"/>
      <c r="J58" s="176"/>
      <c r="K58" s="176"/>
      <c r="M58" s="174"/>
      <c r="N58" s="177"/>
      <c r="O58" s="175"/>
      <c r="P58" s="176"/>
      <c r="Q58" s="176"/>
    </row>
    <row r="59" spans="1:18" ht="15.75" customHeight="1" thickTop="1" thickBot="1" x14ac:dyDescent="0.25">
      <c r="A59" s="34">
        <v>1</v>
      </c>
      <c r="B59" s="48" t="s">
        <v>70</v>
      </c>
      <c r="C59" s="36">
        <v>316</v>
      </c>
      <c r="D59" s="40">
        <v>55</v>
      </c>
      <c r="E59" s="41">
        <v>261</v>
      </c>
      <c r="G59" s="57"/>
      <c r="H59" s="58"/>
      <c r="I59" s="59"/>
      <c r="J59" s="60"/>
      <c r="K59" s="60"/>
      <c r="M59" s="57"/>
      <c r="N59" s="58"/>
      <c r="O59" s="59"/>
      <c r="P59" s="60"/>
      <c r="Q59" s="60"/>
    </row>
    <row r="60" spans="1:18" ht="15.75" customHeight="1" thickBot="1" x14ac:dyDescent="0.25">
      <c r="A60" s="38">
        <v>1</v>
      </c>
      <c r="B60" s="49" t="s">
        <v>357</v>
      </c>
      <c r="C60" s="36">
        <v>316</v>
      </c>
      <c r="D60" s="40">
        <v>61</v>
      </c>
      <c r="E60" s="41">
        <v>255</v>
      </c>
      <c r="G60" s="57"/>
      <c r="H60" s="58"/>
      <c r="I60" s="59"/>
      <c r="J60" s="60"/>
      <c r="K60" s="60"/>
      <c r="M60" s="57"/>
      <c r="N60" s="58"/>
      <c r="O60" s="59"/>
      <c r="P60" s="60"/>
      <c r="Q60" s="60"/>
    </row>
    <row r="61" spans="1:18" ht="15.75" customHeight="1" thickBot="1" x14ac:dyDescent="0.25">
      <c r="A61" s="38">
        <v>3</v>
      </c>
      <c r="B61" s="49" t="s">
        <v>22</v>
      </c>
      <c r="C61" s="36">
        <v>313</v>
      </c>
      <c r="D61" s="40">
        <v>60</v>
      </c>
      <c r="E61" s="41">
        <v>253</v>
      </c>
      <c r="G61" s="57"/>
      <c r="H61" s="58"/>
      <c r="I61" s="59"/>
      <c r="J61" s="60"/>
      <c r="K61" s="60"/>
      <c r="M61" s="57"/>
      <c r="N61" s="58"/>
      <c r="O61" s="59"/>
      <c r="P61" s="60"/>
      <c r="Q61" s="60"/>
    </row>
    <row r="62" spans="1:18" ht="15.75" customHeight="1" thickBot="1" x14ac:dyDescent="0.25">
      <c r="A62" s="38">
        <v>4</v>
      </c>
      <c r="B62" s="49" t="s">
        <v>341</v>
      </c>
      <c r="C62" s="36">
        <v>308</v>
      </c>
      <c r="D62" s="40">
        <v>58</v>
      </c>
      <c r="E62" s="41">
        <v>250</v>
      </c>
      <c r="G62" s="57"/>
      <c r="H62" s="58"/>
      <c r="I62" s="59"/>
      <c r="J62" s="60"/>
      <c r="K62" s="60"/>
      <c r="M62" s="57"/>
      <c r="N62" s="58"/>
      <c r="O62" s="59"/>
      <c r="P62" s="60"/>
      <c r="Q62" s="60"/>
    </row>
    <row r="63" spans="1:18" ht="15.75" customHeight="1" thickBot="1" x14ac:dyDescent="0.25">
      <c r="A63" s="38">
        <v>5</v>
      </c>
      <c r="B63" s="49" t="s">
        <v>282</v>
      </c>
      <c r="C63" s="36">
        <v>307</v>
      </c>
      <c r="D63" s="40">
        <v>51</v>
      </c>
      <c r="E63" s="41">
        <v>256</v>
      </c>
      <c r="G63" s="57"/>
      <c r="H63" s="58"/>
      <c r="I63" s="59"/>
      <c r="J63" s="60"/>
      <c r="K63" s="60"/>
      <c r="M63" s="57"/>
      <c r="N63" s="58"/>
      <c r="O63" s="59"/>
      <c r="P63" s="60"/>
      <c r="Q63" s="60"/>
    </row>
    <row r="64" spans="1:18" ht="15.75" customHeight="1" thickBot="1" x14ac:dyDescent="0.25">
      <c r="A64" s="26">
        <v>6</v>
      </c>
      <c r="B64" s="50" t="s">
        <v>321</v>
      </c>
      <c r="C64" s="28">
        <v>306</v>
      </c>
      <c r="D64" s="43">
        <v>53</v>
      </c>
      <c r="E64" s="44">
        <v>253</v>
      </c>
      <c r="G64" s="57"/>
      <c r="H64" s="58"/>
      <c r="I64" s="59"/>
      <c r="J64" s="60"/>
      <c r="K64" s="60"/>
      <c r="M64" s="57"/>
      <c r="N64" s="58"/>
      <c r="O64" s="59"/>
      <c r="P64" s="60"/>
      <c r="Q64" s="60"/>
    </row>
    <row r="65" spans="1:17" ht="15.75" customHeight="1" thickBot="1" x14ac:dyDescent="0.25">
      <c r="A65" s="26">
        <v>7</v>
      </c>
      <c r="B65" s="50" t="s">
        <v>319</v>
      </c>
      <c r="C65" s="28">
        <v>303</v>
      </c>
      <c r="D65" s="43">
        <v>60</v>
      </c>
      <c r="E65" s="44">
        <v>243</v>
      </c>
      <c r="G65" s="57"/>
      <c r="H65" s="58"/>
      <c r="I65" s="59"/>
      <c r="J65" s="60"/>
      <c r="K65" s="60"/>
      <c r="M65" s="57"/>
      <c r="N65" s="58"/>
      <c r="O65" s="59"/>
      <c r="P65" s="60"/>
      <c r="Q65" s="60"/>
    </row>
    <row r="66" spans="1:17" ht="15.75" customHeight="1" thickBot="1" x14ac:dyDescent="0.25">
      <c r="A66" s="26">
        <v>8</v>
      </c>
      <c r="B66" s="50" t="s">
        <v>317</v>
      </c>
      <c r="C66" s="28">
        <v>302</v>
      </c>
      <c r="D66" s="43">
        <v>52</v>
      </c>
      <c r="E66" s="44">
        <v>250</v>
      </c>
      <c r="G66" s="57"/>
      <c r="H66" s="58"/>
      <c r="I66" s="59"/>
      <c r="J66" s="60"/>
      <c r="K66" s="60"/>
      <c r="M66" s="57"/>
      <c r="N66" s="58"/>
      <c r="O66" s="59"/>
      <c r="P66" s="60"/>
      <c r="Q66" s="60"/>
    </row>
    <row r="67" spans="1:17" ht="15.75" customHeight="1" thickBot="1" x14ac:dyDescent="0.25">
      <c r="A67" s="61">
        <v>9</v>
      </c>
      <c r="B67" s="62" t="s">
        <v>358</v>
      </c>
      <c r="C67" s="63">
        <v>301</v>
      </c>
      <c r="D67" s="64">
        <v>50</v>
      </c>
      <c r="E67" s="65">
        <v>251</v>
      </c>
      <c r="G67" s="57"/>
      <c r="H67" s="58"/>
      <c r="I67" s="59"/>
      <c r="J67" s="60"/>
      <c r="K67" s="60"/>
      <c r="M67" s="57"/>
      <c r="N67" s="58"/>
      <c r="O67" s="59"/>
      <c r="P67" s="60"/>
      <c r="Q67" s="60"/>
    </row>
    <row r="68" spans="1:17" ht="13.5" thickTop="1" x14ac:dyDescent="0.2"/>
  </sheetData>
  <mergeCells count="96">
    <mergeCell ref="Q56:Q58"/>
    <mergeCell ref="H56:H58"/>
    <mergeCell ref="I56:I58"/>
    <mergeCell ref="J56:J58"/>
    <mergeCell ref="K56:K58"/>
    <mergeCell ref="M56:M58"/>
    <mergeCell ref="N56:N58"/>
    <mergeCell ref="O53:P54"/>
    <mergeCell ref="A56:A58"/>
    <mergeCell ref="B56:B58"/>
    <mergeCell ref="C56:C58"/>
    <mergeCell ref="D56:D58"/>
    <mergeCell ref="E56:E58"/>
    <mergeCell ref="G56:G58"/>
    <mergeCell ref="O56:O58"/>
    <mergeCell ref="P56:P58"/>
    <mergeCell ref="B53:B54"/>
    <mergeCell ref="C53:D54"/>
    <mergeCell ref="H53:H54"/>
    <mergeCell ref="I53:J54"/>
    <mergeCell ref="N53:N54"/>
    <mergeCell ref="C52:D52"/>
    <mergeCell ref="I52:J52"/>
    <mergeCell ref="O52:P52"/>
    <mergeCell ref="N39:N41"/>
    <mergeCell ref="O39:O41"/>
    <mergeCell ref="P39:P41"/>
    <mergeCell ref="Q39:Q41"/>
    <mergeCell ref="G39:G41"/>
    <mergeCell ref="H39:H41"/>
    <mergeCell ref="I39:I41"/>
    <mergeCell ref="J39:J41"/>
    <mergeCell ref="K39:K41"/>
    <mergeCell ref="M39:M41"/>
    <mergeCell ref="A39:A41"/>
    <mergeCell ref="B39:B41"/>
    <mergeCell ref="C39:C41"/>
    <mergeCell ref="D39:D41"/>
    <mergeCell ref="E39:E41"/>
    <mergeCell ref="C35:D35"/>
    <mergeCell ref="I35:J35"/>
    <mergeCell ref="O35:P35"/>
    <mergeCell ref="B36:B37"/>
    <mergeCell ref="C36:D37"/>
    <mergeCell ref="H36:H37"/>
    <mergeCell ref="I36:J37"/>
    <mergeCell ref="N36:N37"/>
    <mergeCell ref="O36:P37"/>
    <mergeCell ref="B2:B3"/>
    <mergeCell ref="A5:A7"/>
    <mergeCell ref="B5:B7"/>
    <mergeCell ref="C5:C7"/>
    <mergeCell ref="D5:D7"/>
    <mergeCell ref="C1:D1"/>
    <mergeCell ref="C2:D3"/>
    <mergeCell ref="I1:J1"/>
    <mergeCell ref="H2:H3"/>
    <mergeCell ref="I2:J3"/>
    <mergeCell ref="O5:O7"/>
    <mergeCell ref="P5:P7"/>
    <mergeCell ref="Q5:Q7"/>
    <mergeCell ref="O1:P1"/>
    <mergeCell ref="N2:N3"/>
    <mergeCell ref="O2:P3"/>
    <mergeCell ref="A22:A24"/>
    <mergeCell ref="B22:B24"/>
    <mergeCell ref="C22:C24"/>
    <mergeCell ref="D22:D24"/>
    <mergeCell ref="E22:E24"/>
    <mergeCell ref="M5:M7"/>
    <mergeCell ref="N5:N7"/>
    <mergeCell ref="C18:D18"/>
    <mergeCell ref="B19:B20"/>
    <mergeCell ref="C19:D20"/>
    <mergeCell ref="H5:H7"/>
    <mergeCell ref="I5:I7"/>
    <mergeCell ref="J5:J7"/>
    <mergeCell ref="K5:K7"/>
    <mergeCell ref="G5:G7"/>
    <mergeCell ref="E5:E7"/>
    <mergeCell ref="I18:J18"/>
    <mergeCell ref="H19:H20"/>
    <mergeCell ref="I19:J20"/>
    <mergeCell ref="G22:G24"/>
    <mergeCell ref="H22:H24"/>
    <mergeCell ref="I22:I24"/>
    <mergeCell ref="J22:J24"/>
    <mergeCell ref="Q22:Q24"/>
    <mergeCell ref="K22:K24"/>
    <mergeCell ref="O18:P18"/>
    <mergeCell ref="N19:N20"/>
    <mergeCell ref="O19:P20"/>
    <mergeCell ref="M22:M24"/>
    <mergeCell ref="N22:N24"/>
    <mergeCell ref="O22:O24"/>
    <mergeCell ref="P22:P24"/>
  </mergeCells>
  <conditionalFormatting sqref="D17">
    <cfRule type="top10" dxfId="7" priority="22" stopIfTrue="1" rank="1"/>
  </conditionalFormatting>
  <conditionalFormatting sqref="J17">
    <cfRule type="top10" dxfId="6" priority="4" stopIfTrue="1" rank="1"/>
  </conditionalFormatting>
  <conditionalFormatting sqref="P17">
    <cfRule type="top10" dxfId="5" priority="3" stopIfTrue="1" rank="1"/>
  </conditionalFormatting>
  <pageMargins left="0.7" right="0.7" top="0.75" bottom="0.75" header="0.3" footer="0.3"/>
  <pageSetup orientation="portrait" r:id="rId1"/>
  <webPublishItems count="1">
    <webPublishItem id="29044" divId="index-2022-11-22 BIG_29044" sourceType="sheet" destinationFile="C:\Users\Bob\Desktop\wc2022\ARGENTINA-CHAMPS.htm" autoRepublish="1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68"/>
  <sheetViews>
    <sheetView workbookViewId="0">
      <selection activeCell="D5" sqref="D5:D7"/>
    </sheetView>
  </sheetViews>
  <sheetFormatPr defaultRowHeight="12.75" x14ac:dyDescent="0.2"/>
  <cols>
    <col min="1" max="1" width="5.140625" bestFit="1" customWidth="1"/>
    <col min="2" max="2" width="13.5703125" bestFit="1" customWidth="1"/>
    <col min="3" max="3" width="8.42578125" customWidth="1"/>
    <col min="4" max="5" width="5.140625" customWidth="1"/>
    <col min="6" max="6" width="2.140625" customWidth="1"/>
    <col min="7" max="7" width="5.140625" bestFit="1" customWidth="1"/>
    <col min="8" max="8" width="13.5703125" bestFit="1" customWidth="1"/>
    <col min="9" max="9" width="8.42578125" customWidth="1"/>
    <col min="10" max="11" width="5.140625" customWidth="1"/>
    <col min="12" max="12" width="2.140625" customWidth="1"/>
    <col min="13" max="13" width="5.140625" bestFit="1" customWidth="1"/>
    <col min="14" max="14" width="13.5703125" bestFit="1" customWidth="1"/>
    <col min="15" max="15" width="8.42578125" customWidth="1"/>
    <col min="16" max="17" width="5.140625" customWidth="1"/>
    <col min="18" max="18" width="2.140625" customWidth="1"/>
  </cols>
  <sheetData>
    <row r="1" spans="1:18" ht="12.75" customHeight="1" x14ac:dyDescent="0.2">
      <c r="A1" s="66"/>
      <c r="B1" s="66" t="s">
        <v>80</v>
      </c>
      <c r="C1" s="157" t="s">
        <v>368</v>
      </c>
      <c r="D1" s="157"/>
      <c r="E1" s="66"/>
      <c r="F1" s="67"/>
      <c r="G1" s="66"/>
      <c r="H1" s="66" t="s">
        <v>80</v>
      </c>
      <c r="I1" s="157" t="s">
        <v>368</v>
      </c>
      <c r="J1" s="157"/>
      <c r="K1" s="66"/>
      <c r="L1" s="67"/>
      <c r="M1" s="66"/>
      <c r="N1" s="66" t="s">
        <v>80</v>
      </c>
      <c r="O1" s="157" t="s">
        <v>368</v>
      </c>
      <c r="P1" s="157"/>
      <c r="Q1" s="66"/>
      <c r="R1" s="67"/>
    </row>
    <row r="2" spans="1:18" ht="12.75" customHeight="1" x14ac:dyDescent="0.35">
      <c r="A2" s="56"/>
      <c r="B2" s="158">
        <v>1</v>
      </c>
      <c r="C2" s="158">
        <v>0</v>
      </c>
      <c r="D2" s="158"/>
      <c r="E2" s="56"/>
      <c r="G2" s="56"/>
      <c r="H2" s="158">
        <v>2</v>
      </c>
      <c r="I2" s="158">
        <v>0</v>
      </c>
      <c r="J2" s="158"/>
      <c r="K2" s="56"/>
      <c r="M2" s="56"/>
      <c r="N2" s="158">
        <v>2</v>
      </c>
      <c r="O2" s="158">
        <v>1</v>
      </c>
      <c r="P2" s="158"/>
      <c r="Q2" s="56"/>
    </row>
    <row r="3" spans="1:18" ht="12.75" customHeight="1" x14ac:dyDescent="0.35">
      <c r="A3" s="56"/>
      <c r="B3" s="158"/>
      <c r="C3" s="158"/>
      <c r="D3" s="158"/>
      <c r="E3" s="56"/>
      <c r="G3" s="56"/>
      <c r="H3" s="158"/>
      <c r="I3" s="158"/>
      <c r="J3" s="158"/>
      <c r="K3" s="56"/>
      <c r="M3" s="56"/>
      <c r="N3" s="158"/>
      <c r="O3" s="158"/>
      <c r="P3" s="158"/>
      <c r="Q3" s="56"/>
    </row>
    <row r="4" spans="1:18" ht="5.25" customHeight="1" thickBot="1" x14ac:dyDescent="0.25"/>
    <row r="5" spans="1:18" ht="12.75" customHeight="1" thickTop="1" x14ac:dyDescent="0.2">
      <c r="A5" s="159" t="s">
        <v>75</v>
      </c>
      <c r="B5" s="162" t="s">
        <v>76</v>
      </c>
      <c r="C5" s="165" t="s">
        <v>77</v>
      </c>
      <c r="D5" s="168" t="s">
        <v>78</v>
      </c>
      <c r="E5" s="171" t="s">
        <v>79</v>
      </c>
      <c r="G5" s="159" t="s">
        <v>75</v>
      </c>
      <c r="H5" s="162" t="s">
        <v>76</v>
      </c>
      <c r="I5" s="165" t="s">
        <v>77</v>
      </c>
      <c r="J5" s="168" t="s">
        <v>78</v>
      </c>
      <c r="K5" s="171" t="s">
        <v>79</v>
      </c>
      <c r="M5" s="159" t="s">
        <v>75</v>
      </c>
      <c r="N5" s="162" t="s">
        <v>76</v>
      </c>
      <c r="O5" s="165" t="s">
        <v>77</v>
      </c>
      <c r="P5" s="168" t="s">
        <v>78</v>
      </c>
      <c r="Q5" s="171" t="s">
        <v>79</v>
      </c>
    </row>
    <row r="6" spans="1:18" ht="12.75" customHeight="1" x14ac:dyDescent="0.2">
      <c r="A6" s="160"/>
      <c r="B6" s="163"/>
      <c r="C6" s="166"/>
      <c r="D6" s="169"/>
      <c r="E6" s="172"/>
      <c r="G6" s="160"/>
      <c r="H6" s="163"/>
      <c r="I6" s="166"/>
      <c r="J6" s="169"/>
      <c r="K6" s="172"/>
      <c r="M6" s="160"/>
      <c r="N6" s="163"/>
      <c r="O6" s="166"/>
      <c r="P6" s="169"/>
      <c r="Q6" s="172"/>
    </row>
    <row r="7" spans="1:18" ht="12.75" customHeight="1" thickBot="1" x14ac:dyDescent="0.25">
      <c r="A7" s="161"/>
      <c r="B7" s="164"/>
      <c r="C7" s="167"/>
      <c r="D7" s="170"/>
      <c r="E7" s="173"/>
      <c r="G7" s="161"/>
      <c r="H7" s="164"/>
      <c r="I7" s="167"/>
      <c r="J7" s="170"/>
      <c r="K7" s="173"/>
      <c r="M7" s="161"/>
      <c r="N7" s="164"/>
      <c r="O7" s="167"/>
      <c r="P7" s="170"/>
      <c r="Q7" s="173"/>
    </row>
    <row r="8" spans="1:18" ht="15.75" customHeight="1" thickTop="1" thickBot="1" x14ac:dyDescent="0.25">
      <c r="A8" s="34">
        <v>1</v>
      </c>
      <c r="B8" s="48" t="s">
        <v>351</v>
      </c>
      <c r="C8" s="36">
        <v>329</v>
      </c>
      <c r="D8" s="40">
        <v>56</v>
      </c>
      <c r="E8" s="41">
        <v>273</v>
      </c>
      <c r="G8" s="34">
        <v>1</v>
      </c>
      <c r="H8" s="48" t="s">
        <v>53</v>
      </c>
      <c r="I8" s="36">
        <v>329</v>
      </c>
      <c r="J8" s="40">
        <v>59</v>
      </c>
      <c r="K8" s="41">
        <v>270</v>
      </c>
      <c r="M8" s="34">
        <v>1</v>
      </c>
      <c r="N8" s="48" t="s">
        <v>53</v>
      </c>
      <c r="O8" s="36">
        <v>349</v>
      </c>
      <c r="P8" s="40">
        <v>59</v>
      </c>
      <c r="Q8" s="41">
        <v>290</v>
      </c>
    </row>
    <row r="9" spans="1:18" ht="15.75" customHeight="1" thickBot="1" x14ac:dyDescent="0.25">
      <c r="A9" s="38">
        <v>1</v>
      </c>
      <c r="B9" s="49" t="s">
        <v>53</v>
      </c>
      <c r="C9" s="36">
        <v>329</v>
      </c>
      <c r="D9" s="40">
        <v>59</v>
      </c>
      <c r="E9" s="41">
        <v>270</v>
      </c>
      <c r="G9" s="38">
        <v>2</v>
      </c>
      <c r="H9" s="49" t="s">
        <v>351</v>
      </c>
      <c r="I9" s="36">
        <v>309</v>
      </c>
      <c r="J9" s="40">
        <v>56</v>
      </c>
      <c r="K9" s="41">
        <v>253</v>
      </c>
      <c r="M9" s="38">
        <v>2</v>
      </c>
      <c r="N9" s="49" t="s">
        <v>68</v>
      </c>
      <c r="O9" s="36">
        <v>320</v>
      </c>
      <c r="P9" s="40">
        <v>52</v>
      </c>
      <c r="Q9" s="41">
        <v>268</v>
      </c>
    </row>
    <row r="10" spans="1:18" ht="15.75" customHeight="1" thickBot="1" x14ac:dyDescent="0.25">
      <c r="A10" s="38">
        <v>3</v>
      </c>
      <c r="B10" s="49" t="s">
        <v>63</v>
      </c>
      <c r="C10" s="36">
        <v>312</v>
      </c>
      <c r="D10" s="40">
        <v>52</v>
      </c>
      <c r="E10" s="41">
        <v>260</v>
      </c>
      <c r="G10" s="38">
        <v>3</v>
      </c>
      <c r="H10" s="49" t="s">
        <v>68</v>
      </c>
      <c r="I10" s="36">
        <v>300</v>
      </c>
      <c r="J10" s="40">
        <v>52</v>
      </c>
      <c r="K10" s="41">
        <v>248</v>
      </c>
      <c r="M10" s="38">
        <v>3</v>
      </c>
      <c r="N10" s="49" t="s">
        <v>351</v>
      </c>
      <c r="O10" s="36">
        <v>309</v>
      </c>
      <c r="P10" s="40">
        <v>56</v>
      </c>
      <c r="Q10" s="41">
        <v>253</v>
      </c>
    </row>
    <row r="11" spans="1:18" ht="15.75" customHeight="1" thickBot="1" x14ac:dyDescent="0.25">
      <c r="A11" s="38">
        <v>4</v>
      </c>
      <c r="B11" s="49" t="s">
        <v>68</v>
      </c>
      <c r="C11" s="36">
        <v>300</v>
      </c>
      <c r="D11" s="40">
        <v>52</v>
      </c>
      <c r="E11" s="41">
        <v>248</v>
      </c>
      <c r="G11" s="38">
        <v>4</v>
      </c>
      <c r="H11" s="49" t="s">
        <v>31</v>
      </c>
      <c r="I11" s="36">
        <v>299</v>
      </c>
      <c r="J11" s="40">
        <v>46</v>
      </c>
      <c r="K11" s="41">
        <v>253</v>
      </c>
      <c r="M11" s="38">
        <v>4</v>
      </c>
      <c r="N11" s="49" t="s">
        <v>31</v>
      </c>
      <c r="O11" s="36">
        <v>299</v>
      </c>
      <c r="P11" s="40">
        <v>46</v>
      </c>
      <c r="Q11" s="41">
        <v>253</v>
      </c>
    </row>
    <row r="12" spans="1:18" ht="15.75" customHeight="1" thickBot="1" x14ac:dyDescent="0.25">
      <c r="A12" s="38">
        <v>5</v>
      </c>
      <c r="B12" s="49" t="s">
        <v>31</v>
      </c>
      <c r="C12" s="36">
        <v>299</v>
      </c>
      <c r="D12" s="40">
        <v>46</v>
      </c>
      <c r="E12" s="41">
        <v>253</v>
      </c>
      <c r="G12" s="38">
        <v>5</v>
      </c>
      <c r="H12" s="49" t="s">
        <v>334</v>
      </c>
      <c r="I12" s="36">
        <v>292</v>
      </c>
      <c r="J12" s="40">
        <v>52</v>
      </c>
      <c r="K12" s="41">
        <v>240</v>
      </c>
      <c r="M12" s="38">
        <v>5</v>
      </c>
      <c r="N12" s="49" t="s">
        <v>36</v>
      </c>
      <c r="O12" s="36">
        <v>298</v>
      </c>
      <c r="P12" s="40">
        <v>48</v>
      </c>
      <c r="Q12" s="41">
        <v>250</v>
      </c>
    </row>
    <row r="13" spans="1:18" ht="15.75" customHeight="1" thickBot="1" x14ac:dyDescent="0.25">
      <c r="A13" s="26">
        <v>6</v>
      </c>
      <c r="B13" s="50" t="s">
        <v>334</v>
      </c>
      <c r="C13" s="28">
        <v>292</v>
      </c>
      <c r="D13" s="43">
        <v>52</v>
      </c>
      <c r="E13" s="44">
        <v>240</v>
      </c>
      <c r="G13" s="26">
        <v>5</v>
      </c>
      <c r="H13" s="50" t="s">
        <v>63</v>
      </c>
      <c r="I13" s="28">
        <v>292</v>
      </c>
      <c r="J13" s="43">
        <v>52</v>
      </c>
      <c r="K13" s="44">
        <v>240</v>
      </c>
      <c r="M13" s="26">
        <v>6</v>
      </c>
      <c r="N13" s="50" t="s">
        <v>334</v>
      </c>
      <c r="O13" s="28">
        <v>292</v>
      </c>
      <c r="P13" s="43">
        <v>52</v>
      </c>
      <c r="Q13" s="44">
        <v>240</v>
      </c>
    </row>
    <row r="14" spans="1:18" ht="15.75" customHeight="1" thickBot="1" x14ac:dyDescent="0.25">
      <c r="A14" s="26">
        <v>7</v>
      </c>
      <c r="B14" s="50" t="s">
        <v>336</v>
      </c>
      <c r="C14" s="28">
        <v>291</v>
      </c>
      <c r="D14" s="43">
        <v>48</v>
      </c>
      <c r="E14" s="44">
        <v>243</v>
      </c>
      <c r="G14" s="26">
        <v>7</v>
      </c>
      <c r="H14" s="50" t="s">
        <v>336</v>
      </c>
      <c r="I14" s="28">
        <v>291</v>
      </c>
      <c r="J14" s="43">
        <v>48</v>
      </c>
      <c r="K14" s="44">
        <v>243</v>
      </c>
      <c r="M14" s="26">
        <v>6</v>
      </c>
      <c r="N14" s="50" t="s">
        <v>63</v>
      </c>
      <c r="O14" s="28">
        <v>292</v>
      </c>
      <c r="P14" s="43">
        <v>52</v>
      </c>
      <c r="Q14" s="44">
        <v>240</v>
      </c>
    </row>
    <row r="15" spans="1:18" ht="15.75" customHeight="1" thickBot="1" x14ac:dyDescent="0.25">
      <c r="A15" s="26">
        <v>8</v>
      </c>
      <c r="B15" s="50" t="s">
        <v>15</v>
      </c>
      <c r="C15" s="28">
        <v>281</v>
      </c>
      <c r="D15" s="43">
        <v>61</v>
      </c>
      <c r="E15" s="44">
        <v>220</v>
      </c>
      <c r="G15" s="26">
        <v>8</v>
      </c>
      <c r="H15" s="50" t="s">
        <v>15</v>
      </c>
      <c r="I15" s="28">
        <v>281</v>
      </c>
      <c r="J15" s="43">
        <v>61</v>
      </c>
      <c r="K15" s="44">
        <v>220</v>
      </c>
      <c r="M15" s="26">
        <v>8</v>
      </c>
      <c r="N15" s="50" t="s">
        <v>336</v>
      </c>
      <c r="O15" s="28">
        <v>291</v>
      </c>
      <c r="P15" s="43">
        <v>48</v>
      </c>
      <c r="Q15" s="44">
        <v>243</v>
      </c>
    </row>
    <row r="16" spans="1:18" ht="15.75" customHeight="1" thickBot="1" x14ac:dyDescent="0.25">
      <c r="A16" s="61">
        <v>9</v>
      </c>
      <c r="B16" s="62" t="s">
        <v>308</v>
      </c>
      <c r="C16" s="63">
        <v>280</v>
      </c>
      <c r="D16" s="64">
        <v>37</v>
      </c>
      <c r="E16" s="65">
        <v>243</v>
      </c>
      <c r="G16" s="61">
        <v>9</v>
      </c>
      <c r="H16" s="62" t="s">
        <v>308</v>
      </c>
      <c r="I16" s="63">
        <v>280</v>
      </c>
      <c r="J16" s="64">
        <v>37</v>
      </c>
      <c r="K16" s="65">
        <v>243</v>
      </c>
      <c r="M16" s="61">
        <v>9</v>
      </c>
      <c r="N16" s="62" t="s">
        <v>15</v>
      </c>
      <c r="O16" s="63">
        <v>281</v>
      </c>
      <c r="P16" s="64">
        <v>61</v>
      </c>
      <c r="Q16" s="65">
        <v>220</v>
      </c>
    </row>
    <row r="17" spans="1:18" ht="12.75" customHeight="1" thickTop="1" x14ac:dyDescent="0.2">
      <c r="A17" s="57"/>
      <c r="B17" s="58"/>
      <c r="C17" s="59"/>
      <c r="D17" s="60"/>
      <c r="E17" s="60"/>
      <c r="G17" s="57"/>
      <c r="H17" s="58"/>
      <c r="I17" s="59"/>
      <c r="J17" s="60"/>
      <c r="K17" s="60"/>
      <c r="M17" s="57"/>
      <c r="N17" s="58"/>
      <c r="O17" s="59"/>
      <c r="P17" s="60"/>
      <c r="Q17" s="60"/>
    </row>
    <row r="18" spans="1:18" ht="12.75" customHeight="1" x14ac:dyDescent="0.2">
      <c r="A18" s="66"/>
      <c r="B18" s="66" t="s">
        <v>80</v>
      </c>
      <c r="C18" s="157" t="s">
        <v>368</v>
      </c>
      <c r="D18" s="157"/>
      <c r="E18" s="66"/>
      <c r="F18" s="67"/>
      <c r="G18" s="66"/>
      <c r="H18" s="66" t="s">
        <v>80</v>
      </c>
      <c r="I18" s="157" t="s">
        <v>368</v>
      </c>
      <c r="J18" s="157"/>
      <c r="K18" s="66"/>
      <c r="L18" s="67"/>
      <c r="M18" s="66"/>
      <c r="N18" s="66" t="s">
        <v>80</v>
      </c>
      <c r="O18" s="157" t="s">
        <v>368</v>
      </c>
      <c r="P18" s="157"/>
      <c r="Q18" s="66"/>
      <c r="R18" s="67"/>
    </row>
    <row r="19" spans="1:18" ht="12.75" customHeight="1" x14ac:dyDescent="0.35">
      <c r="A19" s="56"/>
      <c r="B19" s="158">
        <v>0</v>
      </c>
      <c r="C19" s="158">
        <v>0</v>
      </c>
      <c r="D19" s="158"/>
      <c r="E19" s="56"/>
      <c r="G19" s="56"/>
      <c r="H19" s="158">
        <v>1</v>
      </c>
      <c r="I19" s="158">
        <v>1</v>
      </c>
      <c r="J19" s="158"/>
      <c r="K19" s="56"/>
      <c r="M19" s="56"/>
      <c r="N19" s="158">
        <v>2</v>
      </c>
      <c r="O19" s="158">
        <v>2</v>
      </c>
      <c r="P19" s="158"/>
      <c r="Q19" s="56"/>
    </row>
    <row r="20" spans="1:18" ht="12.75" customHeight="1" x14ac:dyDescent="0.35">
      <c r="A20" s="56"/>
      <c r="B20" s="158"/>
      <c r="C20" s="158"/>
      <c r="D20" s="158"/>
      <c r="E20" s="56"/>
      <c r="G20" s="56"/>
      <c r="H20" s="158"/>
      <c r="I20" s="158"/>
      <c r="J20" s="158"/>
      <c r="K20" s="56"/>
      <c r="M20" s="56"/>
      <c r="N20" s="158"/>
      <c r="O20" s="158"/>
      <c r="P20" s="158"/>
      <c r="Q20" s="56"/>
    </row>
    <row r="21" spans="1:18" ht="5.25" customHeight="1" thickBot="1" x14ac:dyDescent="0.25"/>
    <row r="22" spans="1:18" ht="12.75" customHeight="1" thickTop="1" x14ac:dyDescent="0.2">
      <c r="A22" s="159" t="s">
        <v>75</v>
      </c>
      <c r="B22" s="162" t="s">
        <v>76</v>
      </c>
      <c r="C22" s="165" t="s">
        <v>77</v>
      </c>
      <c r="D22" s="168" t="s">
        <v>78</v>
      </c>
      <c r="E22" s="171" t="s">
        <v>79</v>
      </c>
      <c r="G22" s="159" t="s">
        <v>75</v>
      </c>
      <c r="H22" s="162" t="s">
        <v>76</v>
      </c>
      <c r="I22" s="165" t="s">
        <v>77</v>
      </c>
      <c r="J22" s="168" t="s">
        <v>78</v>
      </c>
      <c r="K22" s="171" t="s">
        <v>79</v>
      </c>
      <c r="M22" s="159" t="s">
        <v>75</v>
      </c>
      <c r="N22" s="162" t="s">
        <v>76</v>
      </c>
      <c r="O22" s="165" t="s">
        <v>77</v>
      </c>
      <c r="P22" s="168" t="s">
        <v>78</v>
      </c>
      <c r="Q22" s="171" t="s">
        <v>79</v>
      </c>
    </row>
    <row r="23" spans="1:18" ht="12.75" customHeight="1" x14ac:dyDescent="0.2">
      <c r="A23" s="160"/>
      <c r="B23" s="163"/>
      <c r="C23" s="166"/>
      <c r="D23" s="169"/>
      <c r="E23" s="172"/>
      <c r="G23" s="160"/>
      <c r="H23" s="163"/>
      <c r="I23" s="166"/>
      <c r="J23" s="169"/>
      <c r="K23" s="172"/>
      <c r="M23" s="160"/>
      <c r="N23" s="163"/>
      <c r="O23" s="166"/>
      <c r="P23" s="169"/>
      <c r="Q23" s="172"/>
    </row>
    <row r="24" spans="1:18" ht="12.75" customHeight="1" thickBot="1" x14ac:dyDescent="0.25">
      <c r="A24" s="161"/>
      <c r="B24" s="164"/>
      <c r="C24" s="167"/>
      <c r="D24" s="170"/>
      <c r="E24" s="173"/>
      <c r="G24" s="161"/>
      <c r="H24" s="164"/>
      <c r="I24" s="167"/>
      <c r="J24" s="170"/>
      <c r="K24" s="173"/>
      <c r="M24" s="161"/>
      <c r="N24" s="164"/>
      <c r="O24" s="167"/>
      <c r="P24" s="170"/>
      <c r="Q24" s="173"/>
    </row>
    <row r="25" spans="1:18" ht="15.75" customHeight="1" thickTop="1" thickBot="1" x14ac:dyDescent="0.25">
      <c r="A25" s="34">
        <v>1</v>
      </c>
      <c r="B25" s="48" t="s">
        <v>53</v>
      </c>
      <c r="C25" s="36">
        <v>329</v>
      </c>
      <c r="D25" s="40">
        <v>59</v>
      </c>
      <c r="E25" s="41">
        <v>270</v>
      </c>
      <c r="G25" s="34">
        <v>1</v>
      </c>
      <c r="H25" s="48" t="s">
        <v>53</v>
      </c>
      <c r="I25" s="36">
        <v>329</v>
      </c>
      <c r="J25" s="40">
        <v>59</v>
      </c>
      <c r="K25" s="41">
        <v>270</v>
      </c>
      <c r="M25" s="34">
        <v>1</v>
      </c>
      <c r="N25" s="48" t="s">
        <v>53</v>
      </c>
      <c r="O25" s="36">
        <v>329</v>
      </c>
      <c r="P25" s="40">
        <v>59</v>
      </c>
      <c r="Q25" s="41">
        <v>270</v>
      </c>
    </row>
    <row r="26" spans="1:18" ht="15.75" customHeight="1" thickBot="1" x14ac:dyDescent="0.25">
      <c r="A26" s="38">
        <v>2</v>
      </c>
      <c r="B26" s="49" t="s">
        <v>351</v>
      </c>
      <c r="C26" s="36">
        <v>309</v>
      </c>
      <c r="D26" s="40">
        <v>56</v>
      </c>
      <c r="E26" s="41">
        <v>253</v>
      </c>
      <c r="G26" s="38">
        <v>2</v>
      </c>
      <c r="H26" s="49" t="s">
        <v>351</v>
      </c>
      <c r="I26" s="36">
        <v>309</v>
      </c>
      <c r="J26" s="40">
        <v>56</v>
      </c>
      <c r="K26" s="41">
        <v>253</v>
      </c>
      <c r="M26" s="38">
        <v>2</v>
      </c>
      <c r="N26" s="49" t="s">
        <v>351</v>
      </c>
      <c r="O26" s="36">
        <v>309</v>
      </c>
      <c r="P26" s="40">
        <v>56</v>
      </c>
      <c r="Q26" s="41">
        <v>253</v>
      </c>
    </row>
    <row r="27" spans="1:18" ht="15.75" customHeight="1" thickBot="1" x14ac:dyDescent="0.25">
      <c r="A27" s="38">
        <v>3</v>
      </c>
      <c r="B27" s="49" t="s">
        <v>68</v>
      </c>
      <c r="C27" s="36">
        <v>300</v>
      </c>
      <c r="D27" s="40">
        <v>52</v>
      </c>
      <c r="E27" s="41">
        <v>248</v>
      </c>
      <c r="G27" s="38">
        <v>3</v>
      </c>
      <c r="H27" s="49" t="s">
        <v>68</v>
      </c>
      <c r="I27" s="36">
        <v>300</v>
      </c>
      <c r="J27" s="40">
        <v>52</v>
      </c>
      <c r="K27" s="41">
        <v>248</v>
      </c>
      <c r="M27" s="38">
        <v>3</v>
      </c>
      <c r="N27" s="49" t="s">
        <v>68</v>
      </c>
      <c r="O27" s="36">
        <v>300</v>
      </c>
      <c r="P27" s="40">
        <v>52</v>
      </c>
      <c r="Q27" s="41">
        <v>248</v>
      </c>
    </row>
    <row r="28" spans="1:18" ht="15.75" customHeight="1" thickBot="1" x14ac:dyDescent="0.25">
      <c r="A28" s="38">
        <v>4</v>
      </c>
      <c r="B28" s="49" t="s">
        <v>31</v>
      </c>
      <c r="C28" s="36">
        <v>299</v>
      </c>
      <c r="D28" s="40">
        <v>46</v>
      </c>
      <c r="E28" s="41">
        <v>253</v>
      </c>
      <c r="G28" s="38">
        <v>4</v>
      </c>
      <c r="H28" s="49" t="s">
        <v>31</v>
      </c>
      <c r="I28" s="36">
        <v>299</v>
      </c>
      <c r="J28" s="40">
        <v>46</v>
      </c>
      <c r="K28" s="41">
        <v>253</v>
      </c>
      <c r="M28" s="38">
        <v>4</v>
      </c>
      <c r="N28" s="49" t="s">
        <v>31</v>
      </c>
      <c r="O28" s="36">
        <v>299</v>
      </c>
      <c r="P28" s="40">
        <v>46</v>
      </c>
      <c r="Q28" s="41">
        <v>253</v>
      </c>
    </row>
    <row r="29" spans="1:18" ht="15.75" customHeight="1" thickBot="1" x14ac:dyDescent="0.25">
      <c r="A29" s="38">
        <v>5</v>
      </c>
      <c r="B29" s="49" t="s">
        <v>334</v>
      </c>
      <c r="C29" s="36">
        <v>292</v>
      </c>
      <c r="D29" s="40">
        <v>52</v>
      </c>
      <c r="E29" s="41">
        <v>240</v>
      </c>
      <c r="G29" s="38">
        <v>5</v>
      </c>
      <c r="H29" s="49" t="s">
        <v>334</v>
      </c>
      <c r="I29" s="36">
        <v>292</v>
      </c>
      <c r="J29" s="40">
        <v>52</v>
      </c>
      <c r="K29" s="41">
        <v>240</v>
      </c>
      <c r="M29" s="38">
        <v>5</v>
      </c>
      <c r="N29" s="49" t="s">
        <v>334</v>
      </c>
      <c r="O29" s="36">
        <v>292</v>
      </c>
      <c r="P29" s="40">
        <v>52</v>
      </c>
      <c r="Q29" s="41">
        <v>240</v>
      </c>
    </row>
    <row r="30" spans="1:18" ht="15.75" customHeight="1" thickBot="1" x14ac:dyDescent="0.25">
      <c r="A30" s="26">
        <v>5</v>
      </c>
      <c r="B30" s="50" t="s">
        <v>63</v>
      </c>
      <c r="C30" s="28">
        <v>292</v>
      </c>
      <c r="D30" s="43">
        <v>52</v>
      </c>
      <c r="E30" s="44">
        <v>240</v>
      </c>
      <c r="G30" s="26">
        <v>5</v>
      </c>
      <c r="H30" s="50" t="s">
        <v>63</v>
      </c>
      <c r="I30" s="28">
        <v>292</v>
      </c>
      <c r="J30" s="43">
        <v>52</v>
      </c>
      <c r="K30" s="44">
        <v>240</v>
      </c>
      <c r="M30" s="26">
        <v>5</v>
      </c>
      <c r="N30" s="50" t="s">
        <v>63</v>
      </c>
      <c r="O30" s="28">
        <v>292</v>
      </c>
      <c r="P30" s="43">
        <v>52</v>
      </c>
      <c r="Q30" s="44">
        <v>240</v>
      </c>
    </row>
    <row r="31" spans="1:18" ht="15.75" customHeight="1" thickBot="1" x14ac:dyDescent="0.25">
      <c r="A31" s="26">
        <v>7</v>
      </c>
      <c r="B31" s="50" t="s">
        <v>336</v>
      </c>
      <c r="C31" s="28">
        <v>291</v>
      </c>
      <c r="D31" s="43">
        <v>48</v>
      </c>
      <c r="E31" s="44">
        <v>243</v>
      </c>
      <c r="G31" s="26">
        <v>7</v>
      </c>
      <c r="H31" s="50" t="s">
        <v>336</v>
      </c>
      <c r="I31" s="28">
        <v>291</v>
      </c>
      <c r="J31" s="43">
        <v>48</v>
      </c>
      <c r="K31" s="44">
        <v>243</v>
      </c>
      <c r="M31" s="26">
        <v>7</v>
      </c>
      <c r="N31" s="50" t="s">
        <v>336</v>
      </c>
      <c r="O31" s="28">
        <v>291</v>
      </c>
      <c r="P31" s="43">
        <v>48</v>
      </c>
      <c r="Q31" s="44">
        <v>243</v>
      </c>
    </row>
    <row r="32" spans="1:18" ht="15.75" customHeight="1" thickBot="1" x14ac:dyDescent="0.25">
      <c r="A32" s="26">
        <v>8</v>
      </c>
      <c r="B32" s="50" t="s">
        <v>15</v>
      </c>
      <c r="C32" s="28">
        <v>281</v>
      </c>
      <c r="D32" s="43">
        <v>61</v>
      </c>
      <c r="E32" s="44">
        <v>220</v>
      </c>
      <c r="G32" s="26">
        <v>8</v>
      </c>
      <c r="H32" s="50" t="s">
        <v>15</v>
      </c>
      <c r="I32" s="28">
        <v>281</v>
      </c>
      <c r="J32" s="43">
        <v>61</v>
      </c>
      <c r="K32" s="44">
        <v>220</v>
      </c>
      <c r="M32" s="26">
        <v>8</v>
      </c>
      <c r="N32" s="50" t="s">
        <v>15</v>
      </c>
      <c r="O32" s="28">
        <v>281</v>
      </c>
      <c r="P32" s="43">
        <v>61</v>
      </c>
      <c r="Q32" s="44">
        <v>220</v>
      </c>
    </row>
    <row r="33" spans="1:18" ht="15.75" customHeight="1" thickBot="1" x14ac:dyDescent="0.25">
      <c r="A33" s="61">
        <v>9</v>
      </c>
      <c r="B33" s="62" t="s">
        <v>308</v>
      </c>
      <c r="C33" s="63">
        <v>280</v>
      </c>
      <c r="D33" s="64">
        <v>37</v>
      </c>
      <c r="E33" s="65">
        <v>243</v>
      </c>
      <c r="G33" s="61">
        <v>9</v>
      </c>
      <c r="H33" s="62" t="s">
        <v>308</v>
      </c>
      <c r="I33" s="63">
        <v>280</v>
      </c>
      <c r="J33" s="64">
        <v>37</v>
      </c>
      <c r="K33" s="65">
        <v>243</v>
      </c>
      <c r="M33" s="61">
        <v>9</v>
      </c>
      <c r="N33" s="62" t="s">
        <v>308</v>
      </c>
      <c r="O33" s="63">
        <v>280</v>
      </c>
      <c r="P33" s="64">
        <v>37</v>
      </c>
      <c r="Q33" s="65">
        <v>243</v>
      </c>
    </row>
    <row r="34" spans="1:18" ht="13.5" thickTop="1" x14ac:dyDescent="0.2"/>
    <row r="35" spans="1:18" ht="12.75" customHeight="1" x14ac:dyDescent="0.2">
      <c r="A35" s="66"/>
      <c r="B35" s="66" t="s">
        <v>80</v>
      </c>
      <c r="C35" s="157" t="s">
        <v>368</v>
      </c>
      <c r="D35" s="157"/>
      <c r="E35" s="66"/>
      <c r="F35" s="67"/>
      <c r="G35" s="66"/>
      <c r="H35" s="66" t="s">
        <v>80</v>
      </c>
      <c r="I35" s="157" t="s">
        <v>368</v>
      </c>
      <c r="J35" s="157"/>
      <c r="K35" s="66"/>
      <c r="L35" s="67"/>
      <c r="M35" s="66"/>
      <c r="N35" s="66" t="s">
        <v>80</v>
      </c>
      <c r="O35" s="157" t="s">
        <v>368</v>
      </c>
      <c r="P35" s="157"/>
      <c r="Q35" s="66"/>
      <c r="R35" s="67"/>
    </row>
    <row r="36" spans="1:18" ht="12.75" customHeight="1" x14ac:dyDescent="0.35">
      <c r="A36" s="56"/>
      <c r="B36" s="158">
        <v>3</v>
      </c>
      <c r="C36" s="158">
        <v>0</v>
      </c>
      <c r="D36" s="158"/>
      <c r="E36" s="56"/>
      <c r="G36" s="56"/>
      <c r="H36" s="158">
        <v>3</v>
      </c>
      <c r="I36" s="158">
        <v>1</v>
      </c>
      <c r="J36" s="158"/>
      <c r="K36" s="56"/>
      <c r="M36" s="56"/>
      <c r="N36" s="158">
        <v>3</v>
      </c>
      <c r="O36" s="158">
        <v>2</v>
      </c>
      <c r="P36" s="158"/>
      <c r="Q36" s="56"/>
    </row>
    <row r="37" spans="1:18" ht="12.75" customHeight="1" x14ac:dyDescent="0.35">
      <c r="A37" s="56"/>
      <c r="B37" s="158"/>
      <c r="C37" s="158"/>
      <c r="D37" s="158"/>
      <c r="E37" s="56"/>
      <c r="G37" s="56"/>
      <c r="H37" s="158"/>
      <c r="I37" s="158"/>
      <c r="J37" s="158"/>
      <c r="K37" s="56"/>
      <c r="M37" s="56"/>
      <c r="N37" s="158"/>
      <c r="O37" s="158"/>
      <c r="P37" s="158"/>
      <c r="Q37" s="56"/>
    </row>
    <row r="38" spans="1:18" ht="5.25" customHeight="1" thickBot="1" x14ac:dyDescent="0.25"/>
    <row r="39" spans="1:18" ht="12.75" customHeight="1" thickTop="1" x14ac:dyDescent="0.2">
      <c r="A39" s="159" t="s">
        <v>75</v>
      </c>
      <c r="B39" s="162" t="s">
        <v>76</v>
      </c>
      <c r="C39" s="165" t="s">
        <v>77</v>
      </c>
      <c r="D39" s="168" t="s">
        <v>78</v>
      </c>
      <c r="E39" s="171" t="s">
        <v>79</v>
      </c>
      <c r="G39" s="159" t="s">
        <v>75</v>
      </c>
      <c r="H39" s="162" t="s">
        <v>76</v>
      </c>
      <c r="I39" s="165" t="s">
        <v>77</v>
      </c>
      <c r="J39" s="168" t="s">
        <v>78</v>
      </c>
      <c r="K39" s="171" t="s">
        <v>79</v>
      </c>
      <c r="M39" s="159" t="s">
        <v>75</v>
      </c>
      <c r="N39" s="162" t="s">
        <v>76</v>
      </c>
      <c r="O39" s="165" t="s">
        <v>77</v>
      </c>
      <c r="P39" s="168" t="s">
        <v>78</v>
      </c>
      <c r="Q39" s="171" t="s">
        <v>79</v>
      </c>
    </row>
    <row r="40" spans="1:18" ht="12.75" customHeight="1" x14ac:dyDescent="0.2">
      <c r="A40" s="160"/>
      <c r="B40" s="163"/>
      <c r="C40" s="166"/>
      <c r="D40" s="169"/>
      <c r="E40" s="172"/>
      <c r="G40" s="160"/>
      <c r="H40" s="163"/>
      <c r="I40" s="166"/>
      <c r="J40" s="169"/>
      <c r="K40" s="172"/>
      <c r="M40" s="160"/>
      <c r="N40" s="163"/>
      <c r="O40" s="166"/>
      <c r="P40" s="169"/>
      <c r="Q40" s="172"/>
    </row>
    <row r="41" spans="1:18" ht="12.75" customHeight="1" thickBot="1" x14ac:dyDescent="0.25">
      <c r="A41" s="161"/>
      <c r="B41" s="164"/>
      <c r="C41" s="167"/>
      <c r="D41" s="170"/>
      <c r="E41" s="173"/>
      <c r="G41" s="161"/>
      <c r="H41" s="164"/>
      <c r="I41" s="167"/>
      <c r="J41" s="170"/>
      <c r="K41" s="173"/>
      <c r="M41" s="161"/>
      <c r="N41" s="164"/>
      <c r="O41" s="167"/>
      <c r="P41" s="170"/>
      <c r="Q41" s="173"/>
    </row>
    <row r="42" spans="1:18" ht="15.75" customHeight="1" thickTop="1" thickBot="1" x14ac:dyDescent="0.25">
      <c r="A42" s="34">
        <v>1</v>
      </c>
      <c r="B42" s="48" t="s">
        <v>53</v>
      </c>
      <c r="C42" s="36">
        <v>329</v>
      </c>
      <c r="D42" s="40">
        <v>59</v>
      </c>
      <c r="E42" s="41">
        <v>270</v>
      </c>
      <c r="G42" s="34">
        <v>1</v>
      </c>
      <c r="H42" s="48" t="s">
        <v>53</v>
      </c>
      <c r="I42" s="36">
        <v>329</v>
      </c>
      <c r="J42" s="40">
        <v>59</v>
      </c>
      <c r="K42" s="41">
        <v>270</v>
      </c>
      <c r="M42" s="34">
        <v>1</v>
      </c>
      <c r="N42" s="48" t="s">
        <v>53</v>
      </c>
      <c r="O42" s="36">
        <v>329</v>
      </c>
      <c r="P42" s="40">
        <v>59</v>
      </c>
      <c r="Q42" s="41">
        <v>270</v>
      </c>
    </row>
    <row r="43" spans="1:18" ht="15.75" customHeight="1" thickBot="1" x14ac:dyDescent="0.25">
      <c r="A43" s="38">
        <v>2</v>
      </c>
      <c r="B43" s="49" t="s">
        <v>351</v>
      </c>
      <c r="C43" s="36">
        <v>309</v>
      </c>
      <c r="D43" s="40">
        <v>56</v>
      </c>
      <c r="E43" s="41">
        <v>253</v>
      </c>
      <c r="G43" s="38">
        <v>2</v>
      </c>
      <c r="H43" s="49" t="s">
        <v>351</v>
      </c>
      <c r="I43" s="36">
        <v>309</v>
      </c>
      <c r="J43" s="40">
        <v>56</v>
      </c>
      <c r="K43" s="41">
        <v>253</v>
      </c>
      <c r="M43" s="38">
        <v>2</v>
      </c>
      <c r="N43" s="49" t="s">
        <v>31</v>
      </c>
      <c r="O43" s="36">
        <v>319</v>
      </c>
      <c r="P43" s="40">
        <v>46</v>
      </c>
      <c r="Q43" s="41">
        <v>273</v>
      </c>
    </row>
    <row r="44" spans="1:18" ht="15.75" customHeight="1" thickBot="1" x14ac:dyDescent="0.25">
      <c r="A44" s="38">
        <v>3</v>
      </c>
      <c r="B44" s="49" t="s">
        <v>68</v>
      </c>
      <c r="C44" s="36">
        <v>300</v>
      </c>
      <c r="D44" s="40">
        <v>52</v>
      </c>
      <c r="E44" s="41">
        <v>248</v>
      </c>
      <c r="G44" s="38">
        <v>3</v>
      </c>
      <c r="H44" s="49" t="s">
        <v>68</v>
      </c>
      <c r="I44" s="36">
        <v>300</v>
      </c>
      <c r="J44" s="40">
        <v>52</v>
      </c>
      <c r="K44" s="41">
        <v>248</v>
      </c>
      <c r="M44" s="38">
        <v>3</v>
      </c>
      <c r="N44" s="49" t="s">
        <v>336</v>
      </c>
      <c r="O44" s="36">
        <v>311</v>
      </c>
      <c r="P44" s="40">
        <v>48</v>
      </c>
      <c r="Q44" s="41">
        <v>263</v>
      </c>
    </row>
    <row r="45" spans="1:18" ht="15.75" customHeight="1" thickBot="1" x14ac:dyDescent="0.25">
      <c r="A45" s="38">
        <v>4</v>
      </c>
      <c r="B45" s="49" t="s">
        <v>31</v>
      </c>
      <c r="C45" s="36">
        <v>299</v>
      </c>
      <c r="D45" s="40">
        <v>46</v>
      </c>
      <c r="E45" s="41">
        <v>253</v>
      </c>
      <c r="G45" s="38">
        <v>4</v>
      </c>
      <c r="H45" s="49" t="s">
        <v>31</v>
      </c>
      <c r="I45" s="36">
        <v>299</v>
      </c>
      <c r="J45" s="40">
        <v>46</v>
      </c>
      <c r="K45" s="41">
        <v>253</v>
      </c>
      <c r="M45" s="38">
        <v>4</v>
      </c>
      <c r="N45" s="49" t="s">
        <v>351</v>
      </c>
      <c r="O45" s="36">
        <v>309</v>
      </c>
      <c r="P45" s="40">
        <v>56</v>
      </c>
      <c r="Q45" s="41">
        <v>253</v>
      </c>
    </row>
    <row r="46" spans="1:18" ht="15.75" customHeight="1" thickBot="1" x14ac:dyDescent="0.25">
      <c r="A46" s="38">
        <v>5</v>
      </c>
      <c r="B46" s="49" t="s">
        <v>334</v>
      </c>
      <c r="C46" s="36">
        <v>292</v>
      </c>
      <c r="D46" s="40">
        <v>52</v>
      </c>
      <c r="E46" s="41">
        <v>240</v>
      </c>
      <c r="G46" s="38">
        <v>5</v>
      </c>
      <c r="H46" s="49" t="s">
        <v>334</v>
      </c>
      <c r="I46" s="36">
        <v>292</v>
      </c>
      <c r="J46" s="40">
        <v>52</v>
      </c>
      <c r="K46" s="41">
        <v>240</v>
      </c>
      <c r="M46" s="38">
        <v>5</v>
      </c>
      <c r="N46" s="49" t="s">
        <v>68</v>
      </c>
      <c r="O46" s="36">
        <v>300</v>
      </c>
      <c r="P46" s="40">
        <v>52</v>
      </c>
      <c r="Q46" s="41">
        <v>248</v>
      </c>
    </row>
    <row r="47" spans="1:18" ht="15.75" customHeight="1" thickBot="1" x14ac:dyDescent="0.25">
      <c r="A47" s="26">
        <v>5</v>
      </c>
      <c r="B47" s="50" t="s">
        <v>63</v>
      </c>
      <c r="C47" s="28">
        <v>292</v>
      </c>
      <c r="D47" s="43">
        <v>52</v>
      </c>
      <c r="E47" s="44">
        <v>240</v>
      </c>
      <c r="G47" s="26">
        <v>5</v>
      </c>
      <c r="H47" s="50" t="s">
        <v>63</v>
      </c>
      <c r="I47" s="28">
        <v>292</v>
      </c>
      <c r="J47" s="43">
        <v>52</v>
      </c>
      <c r="K47" s="44">
        <v>240</v>
      </c>
      <c r="M47" s="26">
        <v>6</v>
      </c>
      <c r="N47" s="50" t="s">
        <v>334</v>
      </c>
      <c r="O47" s="28">
        <v>292</v>
      </c>
      <c r="P47" s="43">
        <v>52</v>
      </c>
      <c r="Q47" s="44">
        <v>240</v>
      </c>
    </row>
    <row r="48" spans="1:18" ht="15.75" customHeight="1" thickBot="1" x14ac:dyDescent="0.25">
      <c r="A48" s="26">
        <v>7</v>
      </c>
      <c r="B48" s="50" t="s">
        <v>336</v>
      </c>
      <c r="C48" s="28">
        <v>291</v>
      </c>
      <c r="D48" s="43">
        <v>48</v>
      </c>
      <c r="E48" s="44">
        <v>243</v>
      </c>
      <c r="G48" s="26">
        <v>7</v>
      </c>
      <c r="H48" s="50" t="s">
        <v>336</v>
      </c>
      <c r="I48" s="28">
        <v>291</v>
      </c>
      <c r="J48" s="43">
        <v>48</v>
      </c>
      <c r="K48" s="44">
        <v>243</v>
      </c>
      <c r="M48" s="26">
        <v>6</v>
      </c>
      <c r="N48" s="50" t="s">
        <v>63</v>
      </c>
      <c r="O48" s="28">
        <v>292</v>
      </c>
      <c r="P48" s="43">
        <v>52</v>
      </c>
      <c r="Q48" s="44">
        <v>240</v>
      </c>
    </row>
    <row r="49" spans="1:18" ht="15.75" customHeight="1" thickBot="1" x14ac:dyDescent="0.25">
      <c r="A49" s="26">
        <v>8</v>
      </c>
      <c r="B49" s="50" t="s">
        <v>15</v>
      </c>
      <c r="C49" s="28">
        <v>281</v>
      </c>
      <c r="D49" s="43">
        <v>61</v>
      </c>
      <c r="E49" s="44">
        <v>220</v>
      </c>
      <c r="G49" s="26">
        <v>8</v>
      </c>
      <c r="H49" s="50" t="s">
        <v>15</v>
      </c>
      <c r="I49" s="28">
        <v>281</v>
      </c>
      <c r="J49" s="43">
        <v>61</v>
      </c>
      <c r="K49" s="44">
        <v>220</v>
      </c>
      <c r="M49" s="26">
        <v>8</v>
      </c>
      <c r="N49" s="50" t="s">
        <v>355</v>
      </c>
      <c r="O49" s="28">
        <v>287</v>
      </c>
      <c r="P49" s="43">
        <v>44</v>
      </c>
      <c r="Q49" s="44">
        <v>243</v>
      </c>
    </row>
    <row r="50" spans="1:18" ht="15.75" customHeight="1" thickBot="1" x14ac:dyDescent="0.25">
      <c r="A50" s="61">
        <v>9</v>
      </c>
      <c r="B50" s="62" t="s">
        <v>308</v>
      </c>
      <c r="C50" s="63">
        <v>280</v>
      </c>
      <c r="D50" s="64">
        <v>37</v>
      </c>
      <c r="E50" s="65">
        <v>243</v>
      </c>
      <c r="G50" s="61">
        <v>9</v>
      </c>
      <c r="H50" s="62" t="s">
        <v>308</v>
      </c>
      <c r="I50" s="63">
        <v>280</v>
      </c>
      <c r="J50" s="64">
        <v>37</v>
      </c>
      <c r="K50" s="65">
        <v>243</v>
      </c>
      <c r="M50" s="61">
        <v>9</v>
      </c>
      <c r="N50" s="62" t="s">
        <v>15</v>
      </c>
      <c r="O50" s="63">
        <v>281</v>
      </c>
      <c r="P50" s="64">
        <v>61</v>
      </c>
      <c r="Q50" s="65">
        <v>220</v>
      </c>
    </row>
    <row r="51" spans="1:18" ht="13.5" thickTop="1" x14ac:dyDescent="0.2"/>
    <row r="52" spans="1:18" ht="12.75" customHeight="1" x14ac:dyDescent="0.2">
      <c r="A52" s="66"/>
      <c r="B52" s="66" t="s">
        <v>80</v>
      </c>
      <c r="C52" s="157" t="s">
        <v>368</v>
      </c>
      <c r="D52" s="157"/>
      <c r="E52" s="66"/>
      <c r="F52" s="67"/>
      <c r="G52" s="66"/>
      <c r="H52" s="66"/>
      <c r="I52" s="157"/>
      <c r="J52" s="157"/>
      <c r="K52" s="66"/>
      <c r="L52" s="67"/>
      <c r="M52" s="66"/>
      <c r="N52" s="66"/>
      <c r="O52" s="157"/>
      <c r="P52" s="157"/>
      <c r="Q52" s="66"/>
      <c r="R52" s="67"/>
    </row>
    <row r="53" spans="1:18" ht="12.75" customHeight="1" x14ac:dyDescent="0.35">
      <c r="A53" s="56"/>
      <c r="B53" s="158">
        <v>3</v>
      </c>
      <c r="C53" s="158">
        <v>3</v>
      </c>
      <c r="D53" s="158"/>
      <c r="E53" s="56"/>
      <c r="G53" s="56"/>
      <c r="H53" s="158"/>
      <c r="I53" s="158"/>
      <c r="J53" s="158"/>
      <c r="K53" s="56"/>
      <c r="M53" s="56"/>
      <c r="N53" s="158"/>
      <c r="O53" s="158"/>
      <c r="P53" s="158"/>
      <c r="Q53" s="56"/>
    </row>
    <row r="54" spans="1:18" ht="12.75" customHeight="1" x14ac:dyDescent="0.35">
      <c r="A54" s="56"/>
      <c r="B54" s="158"/>
      <c r="C54" s="158"/>
      <c r="D54" s="158"/>
      <c r="E54" s="56"/>
      <c r="G54" s="56"/>
      <c r="H54" s="158"/>
      <c r="I54" s="158"/>
      <c r="J54" s="158"/>
      <c r="K54" s="56"/>
      <c r="M54" s="56"/>
      <c r="N54" s="158"/>
      <c r="O54" s="158"/>
      <c r="P54" s="158"/>
      <c r="Q54" s="56"/>
    </row>
    <row r="55" spans="1:18" ht="5.25" customHeight="1" thickBot="1" x14ac:dyDescent="0.25"/>
    <row r="56" spans="1:18" ht="12.75" customHeight="1" thickTop="1" x14ac:dyDescent="0.2">
      <c r="A56" s="159" t="s">
        <v>75</v>
      </c>
      <c r="B56" s="162" t="s">
        <v>76</v>
      </c>
      <c r="C56" s="165" t="s">
        <v>77</v>
      </c>
      <c r="D56" s="168" t="s">
        <v>78</v>
      </c>
      <c r="E56" s="171" t="s">
        <v>79</v>
      </c>
      <c r="G56" s="174"/>
      <c r="H56" s="177"/>
      <c r="I56" s="175"/>
      <c r="J56" s="176"/>
      <c r="K56" s="176"/>
      <c r="M56" s="174"/>
      <c r="N56" s="177"/>
      <c r="O56" s="175"/>
      <c r="P56" s="176"/>
      <c r="Q56" s="176"/>
    </row>
    <row r="57" spans="1:18" ht="12.75" customHeight="1" x14ac:dyDescent="0.2">
      <c r="A57" s="160"/>
      <c r="B57" s="163"/>
      <c r="C57" s="166"/>
      <c r="D57" s="169"/>
      <c r="E57" s="172"/>
      <c r="G57" s="174"/>
      <c r="H57" s="177"/>
      <c r="I57" s="175"/>
      <c r="J57" s="176"/>
      <c r="K57" s="176"/>
      <c r="M57" s="174"/>
      <c r="N57" s="177"/>
      <c r="O57" s="175"/>
      <c r="P57" s="176"/>
      <c r="Q57" s="176"/>
    </row>
    <row r="58" spans="1:18" ht="12.75" customHeight="1" thickBot="1" x14ac:dyDescent="0.25">
      <c r="A58" s="161"/>
      <c r="B58" s="164"/>
      <c r="C58" s="167"/>
      <c r="D58" s="170"/>
      <c r="E58" s="173"/>
      <c r="G58" s="174"/>
      <c r="H58" s="177"/>
      <c r="I58" s="175"/>
      <c r="J58" s="176"/>
      <c r="K58" s="176"/>
      <c r="M58" s="174"/>
      <c r="N58" s="177"/>
      <c r="O58" s="175"/>
      <c r="P58" s="176"/>
      <c r="Q58" s="176"/>
    </row>
    <row r="59" spans="1:18" ht="15.75" customHeight="1" thickTop="1" thickBot="1" x14ac:dyDescent="0.25">
      <c r="A59" s="34">
        <v>1</v>
      </c>
      <c r="B59" s="48" t="s">
        <v>53</v>
      </c>
      <c r="C59" s="36">
        <v>329</v>
      </c>
      <c r="D59" s="40">
        <v>59</v>
      </c>
      <c r="E59" s="41">
        <v>270</v>
      </c>
      <c r="G59" s="57"/>
      <c r="H59" s="58"/>
      <c r="I59" s="59"/>
      <c r="J59" s="60"/>
      <c r="K59" s="60"/>
      <c r="M59" s="57"/>
      <c r="N59" s="58"/>
      <c r="O59" s="59"/>
      <c r="P59" s="60"/>
      <c r="Q59" s="60"/>
    </row>
    <row r="60" spans="1:18" ht="15.75" customHeight="1" thickBot="1" x14ac:dyDescent="0.25">
      <c r="A60" s="38">
        <v>2</v>
      </c>
      <c r="B60" s="49" t="s">
        <v>351</v>
      </c>
      <c r="C60" s="36">
        <v>309</v>
      </c>
      <c r="D60" s="40">
        <v>56</v>
      </c>
      <c r="E60" s="41">
        <v>253</v>
      </c>
      <c r="G60" s="57"/>
      <c r="H60" s="58"/>
      <c r="I60" s="59"/>
      <c r="J60" s="60"/>
      <c r="K60" s="60"/>
      <c r="M60" s="57"/>
      <c r="N60" s="58"/>
      <c r="O60" s="59"/>
      <c r="P60" s="60"/>
      <c r="Q60" s="60"/>
    </row>
    <row r="61" spans="1:18" ht="15.75" customHeight="1" thickBot="1" x14ac:dyDescent="0.25">
      <c r="A61" s="38">
        <v>3</v>
      </c>
      <c r="B61" s="49" t="s">
        <v>68</v>
      </c>
      <c r="C61" s="36">
        <v>300</v>
      </c>
      <c r="D61" s="40">
        <v>52</v>
      </c>
      <c r="E61" s="41">
        <v>248</v>
      </c>
      <c r="G61" s="57"/>
      <c r="H61" s="58"/>
      <c r="I61" s="59"/>
      <c r="J61" s="60"/>
      <c r="K61" s="60"/>
      <c r="M61" s="57"/>
      <c r="N61" s="58"/>
      <c r="O61" s="59"/>
      <c r="P61" s="60"/>
      <c r="Q61" s="60"/>
    </row>
    <row r="62" spans="1:18" ht="15.75" customHeight="1" thickBot="1" x14ac:dyDescent="0.25">
      <c r="A62" s="38">
        <v>4</v>
      </c>
      <c r="B62" s="49" t="s">
        <v>31</v>
      </c>
      <c r="C62" s="36">
        <v>299</v>
      </c>
      <c r="D62" s="40">
        <v>46</v>
      </c>
      <c r="E62" s="41">
        <v>253</v>
      </c>
      <c r="G62" s="57"/>
      <c r="H62" s="58"/>
      <c r="I62" s="59"/>
      <c r="J62" s="60"/>
      <c r="K62" s="60"/>
      <c r="M62" s="57"/>
      <c r="N62" s="58"/>
      <c r="O62" s="59"/>
      <c r="P62" s="60"/>
      <c r="Q62" s="60"/>
    </row>
    <row r="63" spans="1:18" ht="15.75" customHeight="1" thickBot="1" x14ac:dyDescent="0.25">
      <c r="A63" s="38">
        <v>5</v>
      </c>
      <c r="B63" s="49" t="s">
        <v>334</v>
      </c>
      <c r="C63" s="36">
        <v>292</v>
      </c>
      <c r="D63" s="40">
        <v>52</v>
      </c>
      <c r="E63" s="41">
        <v>240</v>
      </c>
      <c r="G63" s="57"/>
      <c r="H63" s="58"/>
      <c r="I63" s="59"/>
      <c r="J63" s="60"/>
      <c r="K63" s="60"/>
      <c r="M63" s="57"/>
      <c r="N63" s="58"/>
      <c r="O63" s="59"/>
      <c r="P63" s="60"/>
      <c r="Q63" s="60"/>
    </row>
    <row r="64" spans="1:18" ht="15.75" customHeight="1" thickBot="1" x14ac:dyDescent="0.25">
      <c r="A64" s="26">
        <v>5</v>
      </c>
      <c r="B64" s="50" t="s">
        <v>63</v>
      </c>
      <c r="C64" s="28">
        <v>292</v>
      </c>
      <c r="D64" s="43">
        <v>52</v>
      </c>
      <c r="E64" s="44">
        <v>240</v>
      </c>
      <c r="G64" s="57"/>
      <c r="H64" s="58"/>
      <c r="I64" s="59"/>
      <c r="J64" s="60"/>
      <c r="K64" s="60"/>
      <c r="M64" s="57"/>
      <c r="N64" s="58"/>
      <c r="O64" s="59"/>
      <c r="P64" s="60"/>
      <c r="Q64" s="60"/>
    </row>
    <row r="65" spans="1:17" ht="15.75" customHeight="1" thickBot="1" x14ac:dyDescent="0.25">
      <c r="A65" s="26">
        <v>7</v>
      </c>
      <c r="B65" s="50" t="s">
        <v>336</v>
      </c>
      <c r="C65" s="28">
        <v>291</v>
      </c>
      <c r="D65" s="43">
        <v>48</v>
      </c>
      <c r="E65" s="44">
        <v>243</v>
      </c>
      <c r="G65" s="57"/>
      <c r="H65" s="58"/>
      <c r="I65" s="59"/>
      <c r="J65" s="60"/>
      <c r="K65" s="60"/>
      <c r="M65" s="57"/>
      <c r="N65" s="58"/>
      <c r="O65" s="59"/>
      <c r="P65" s="60"/>
      <c r="Q65" s="60"/>
    </row>
    <row r="66" spans="1:17" ht="15.75" customHeight="1" thickBot="1" x14ac:dyDescent="0.25">
      <c r="A66" s="26">
        <v>8</v>
      </c>
      <c r="B66" s="50" t="s">
        <v>15</v>
      </c>
      <c r="C66" s="28">
        <v>281</v>
      </c>
      <c r="D66" s="43">
        <v>61</v>
      </c>
      <c r="E66" s="44">
        <v>220</v>
      </c>
      <c r="G66" s="57"/>
      <c r="H66" s="58"/>
      <c r="I66" s="59"/>
      <c r="J66" s="60"/>
      <c r="K66" s="60"/>
      <c r="M66" s="57"/>
      <c r="N66" s="58"/>
      <c r="O66" s="59"/>
      <c r="P66" s="60"/>
      <c r="Q66" s="60"/>
    </row>
    <row r="67" spans="1:17" ht="15.75" customHeight="1" thickBot="1" x14ac:dyDescent="0.25">
      <c r="A67" s="61">
        <v>9</v>
      </c>
      <c r="B67" s="62" t="s">
        <v>308</v>
      </c>
      <c r="C67" s="63">
        <v>280</v>
      </c>
      <c r="D67" s="64">
        <v>37</v>
      </c>
      <c r="E67" s="65">
        <v>243</v>
      </c>
      <c r="G67" s="57"/>
      <c r="H67" s="58"/>
      <c r="I67" s="59"/>
      <c r="J67" s="60"/>
      <c r="K67" s="60"/>
      <c r="M67" s="57"/>
      <c r="N67" s="58"/>
      <c r="O67" s="59"/>
      <c r="P67" s="60"/>
      <c r="Q67" s="60"/>
    </row>
    <row r="68" spans="1:17" ht="13.5" thickTop="1" x14ac:dyDescent="0.2"/>
  </sheetData>
  <mergeCells count="96">
    <mergeCell ref="Q56:Q58"/>
    <mergeCell ref="H56:H58"/>
    <mergeCell ref="I56:I58"/>
    <mergeCell ref="J56:J58"/>
    <mergeCell ref="K56:K58"/>
    <mergeCell ref="M56:M58"/>
    <mergeCell ref="N56:N58"/>
    <mergeCell ref="O53:P54"/>
    <mergeCell ref="A56:A58"/>
    <mergeCell ref="B56:B58"/>
    <mergeCell ref="C56:C58"/>
    <mergeCell ref="D56:D58"/>
    <mergeCell ref="E56:E58"/>
    <mergeCell ref="G56:G58"/>
    <mergeCell ref="O56:O58"/>
    <mergeCell ref="P56:P58"/>
    <mergeCell ref="B53:B54"/>
    <mergeCell ref="C53:D54"/>
    <mergeCell ref="H53:H54"/>
    <mergeCell ref="I53:J54"/>
    <mergeCell ref="N53:N54"/>
    <mergeCell ref="Q39:Q41"/>
    <mergeCell ref="H39:H41"/>
    <mergeCell ref="I39:I41"/>
    <mergeCell ref="J39:J41"/>
    <mergeCell ref="K39:K41"/>
    <mergeCell ref="C52:D52"/>
    <mergeCell ref="I52:J52"/>
    <mergeCell ref="O52:P52"/>
    <mergeCell ref="O39:O41"/>
    <mergeCell ref="P39:P41"/>
    <mergeCell ref="O36:P37"/>
    <mergeCell ref="M39:M41"/>
    <mergeCell ref="N39:N41"/>
    <mergeCell ref="A39:A41"/>
    <mergeCell ref="B39:B41"/>
    <mergeCell ref="C39:C41"/>
    <mergeCell ref="D39:D41"/>
    <mergeCell ref="E39:E41"/>
    <mergeCell ref="G39:G41"/>
    <mergeCell ref="B36:B37"/>
    <mergeCell ref="C36:D37"/>
    <mergeCell ref="H36:H37"/>
    <mergeCell ref="I36:J37"/>
    <mergeCell ref="N36:N37"/>
    <mergeCell ref="O2:P3"/>
    <mergeCell ref="C1:D1"/>
    <mergeCell ref="I1:J1"/>
    <mergeCell ref="O1:P1"/>
    <mergeCell ref="C35:D35"/>
    <mergeCell ref="I35:J35"/>
    <mergeCell ref="O35:P35"/>
    <mergeCell ref="H5:H7"/>
    <mergeCell ref="I5:I7"/>
    <mergeCell ref="J5:J7"/>
    <mergeCell ref="K5:K7"/>
    <mergeCell ref="N19:N20"/>
    <mergeCell ref="O19:P20"/>
    <mergeCell ref="G22:G24"/>
    <mergeCell ref="O22:O24"/>
    <mergeCell ref="P22:P24"/>
    <mergeCell ref="B2:B3"/>
    <mergeCell ref="C2:D3"/>
    <mergeCell ref="H2:H3"/>
    <mergeCell ref="I2:J3"/>
    <mergeCell ref="N2:N3"/>
    <mergeCell ref="Q5:Q7"/>
    <mergeCell ref="C18:D18"/>
    <mergeCell ref="I18:J18"/>
    <mergeCell ref="O18:P18"/>
    <mergeCell ref="A5:A7"/>
    <mergeCell ref="B5:B7"/>
    <mergeCell ref="C5:C7"/>
    <mergeCell ref="D5:D7"/>
    <mergeCell ref="E5:E7"/>
    <mergeCell ref="G5:G7"/>
    <mergeCell ref="M5:M7"/>
    <mergeCell ref="N5:N7"/>
    <mergeCell ref="O5:O7"/>
    <mergeCell ref="P5:P7"/>
    <mergeCell ref="B19:B20"/>
    <mergeCell ref="C19:D20"/>
    <mergeCell ref="H19:H20"/>
    <mergeCell ref="I19:J20"/>
    <mergeCell ref="A22:A24"/>
    <mergeCell ref="B22:B24"/>
    <mergeCell ref="C22:C24"/>
    <mergeCell ref="D22:D24"/>
    <mergeCell ref="E22:E24"/>
    <mergeCell ref="Q22:Q24"/>
    <mergeCell ref="H22:H24"/>
    <mergeCell ref="I22:I24"/>
    <mergeCell ref="J22:J24"/>
    <mergeCell ref="K22:K24"/>
    <mergeCell ref="M22:M24"/>
    <mergeCell ref="N22:N24"/>
  </mergeCells>
  <conditionalFormatting sqref="D17">
    <cfRule type="top10" dxfId="4" priority="5" stopIfTrue="1" rank="1"/>
  </conditionalFormatting>
  <conditionalFormatting sqref="J17">
    <cfRule type="top10" dxfId="3" priority="4" stopIfTrue="1" rank="1"/>
  </conditionalFormatting>
  <conditionalFormatting sqref="P17">
    <cfRule type="top10" dxfId="2" priority="3" stopIfTrue="1" rank="1"/>
  </conditionalFormatting>
  <pageMargins left="0.7" right="0.7" top="0.75" bottom="0.75" header="0.3" footer="0.3"/>
  <pageSetup orientation="portrait" r:id="rId1"/>
  <webPublishItems count="1">
    <webPublishItem id="30634" divId="index-2022-11-22 BIG_30634" sourceType="sheet" destinationFile="C:\Users\Bob\Desktop\wc2022\FRANCE-CHAMPS.htm" autoRepublish="1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M180"/>
  <sheetViews>
    <sheetView showGridLines="0" zoomScaleNormal="100" workbookViewId="0">
      <selection sqref="A1:IV65536"/>
    </sheetView>
  </sheetViews>
  <sheetFormatPr defaultRowHeight="12.75" x14ac:dyDescent="0.2"/>
  <cols>
    <col min="1" max="1" width="1.28515625" customWidth="1"/>
    <col min="2" max="2" width="5.140625" customWidth="1"/>
    <col min="3" max="8" width="4.28515625" customWidth="1"/>
    <col min="9" max="9" width="2.7109375" customWidth="1"/>
    <col min="10" max="10" width="6.28515625" customWidth="1"/>
    <col min="11" max="11" width="5.7109375" customWidth="1"/>
    <col min="12" max="12" width="15" bestFit="1" customWidth="1"/>
    <col min="13" max="13" width="4.140625" customWidth="1"/>
    <col min="14" max="14" width="8.5703125" customWidth="1"/>
    <col min="15" max="16" width="7" customWidth="1"/>
    <col min="17" max="17" width="8.42578125" customWidth="1"/>
    <col min="18" max="18" width="8.140625" customWidth="1"/>
    <col min="19" max="19" width="1.42578125" customWidth="1"/>
    <col min="20" max="21" width="2" customWidth="1"/>
    <col min="22" max="22" width="1.7109375" customWidth="1"/>
    <col min="23" max="24" width="2" customWidth="1"/>
    <col min="25" max="25" width="1.7109375" customWidth="1"/>
    <col min="26" max="27" width="2" customWidth="1"/>
    <col min="28" max="28" width="1.7109375" customWidth="1"/>
    <col min="29" max="30" width="2" customWidth="1"/>
    <col min="31" max="31" width="5.7109375" customWidth="1"/>
    <col min="32" max="38" width="4.28515625" customWidth="1"/>
    <col min="39" max="39" width="8.7109375" customWidth="1"/>
  </cols>
  <sheetData>
    <row r="1" spans="1:39" x14ac:dyDescent="0.2">
      <c r="A1" s="1"/>
      <c r="B1" s="1"/>
      <c r="C1" s="178" t="s">
        <v>242</v>
      </c>
      <c r="D1" s="178"/>
      <c r="E1" s="178"/>
      <c r="F1" s="178"/>
      <c r="G1" s="178"/>
      <c r="H1" s="17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3.5" customHeight="1" x14ac:dyDescent="0.2">
      <c r="A2" s="1"/>
      <c r="B2" s="1"/>
      <c r="C2" s="179" t="s">
        <v>241</v>
      </c>
      <c r="D2" s="179"/>
      <c r="E2" s="179"/>
      <c r="F2" s="179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3.5" customHeight="1" x14ac:dyDescent="0.2">
      <c r="A3" s="1"/>
      <c r="B3" s="1"/>
      <c r="C3" s="179" t="s">
        <v>243</v>
      </c>
      <c r="D3" s="179"/>
      <c r="E3" s="179"/>
      <c r="F3" s="179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3.5" customHeight="1" x14ac:dyDescent="0.2">
      <c r="A4" s="1"/>
      <c r="B4" s="2"/>
      <c r="C4" s="179" t="s">
        <v>244</v>
      </c>
      <c r="D4" s="179"/>
      <c r="E4" s="179"/>
      <c r="F4" s="179"/>
      <c r="G4" s="1"/>
      <c r="H4" s="1"/>
      <c r="I4" s="2"/>
      <c r="J4" s="2"/>
      <c r="K4" s="3"/>
      <c r="L4" s="2"/>
      <c r="M4" s="2"/>
      <c r="N4" s="2"/>
      <c r="O4" s="2"/>
      <c r="P4" s="2"/>
      <c r="Q4" s="4"/>
      <c r="R4" s="4"/>
      <c r="S4" s="4"/>
      <c r="AE4" s="2"/>
      <c r="AF4" s="2"/>
      <c r="AG4" s="2"/>
      <c r="AH4" s="2"/>
      <c r="AI4" s="2"/>
      <c r="AJ4" s="2"/>
      <c r="AK4" s="2"/>
      <c r="AL4" s="2"/>
      <c r="AM4" s="2"/>
    </row>
    <row r="5" spans="1:39" ht="13.5" customHeight="1" x14ac:dyDescent="0.2">
      <c r="A5" s="1"/>
      <c r="B5" s="2"/>
      <c r="C5" s="179" t="s">
        <v>245</v>
      </c>
      <c r="D5" s="179"/>
      <c r="E5" s="179"/>
      <c r="F5" s="179"/>
      <c r="G5" s="1"/>
      <c r="H5" s="1"/>
      <c r="I5" s="2"/>
      <c r="J5" s="2"/>
      <c r="K5" s="5"/>
      <c r="L5" s="5"/>
      <c r="M5" s="5"/>
      <c r="N5" s="5"/>
      <c r="O5" s="5"/>
      <c r="P5" s="5"/>
      <c r="Q5" s="5"/>
      <c r="R5" s="5"/>
      <c r="S5" s="5"/>
      <c r="T5" s="182" t="s">
        <v>7</v>
      </c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6"/>
      <c r="AF5" s="2"/>
      <c r="AG5" s="2"/>
      <c r="AH5" s="2"/>
      <c r="AI5" s="2"/>
      <c r="AJ5" s="2"/>
      <c r="AK5" s="2"/>
      <c r="AL5" s="2"/>
      <c r="AM5" s="2"/>
    </row>
    <row r="6" spans="1:39" ht="13.5" customHeight="1" x14ac:dyDescent="0.2">
      <c r="A6" s="1"/>
      <c r="B6" s="2"/>
      <c r="C6" s="179" t="s">
        <v>246</v>
      </c>
      <c r="D6" s="179"/>
      <c r="E6" s="179"/>
      <c r="F6" s="179"/>
      <c r="G6" s="1"/>
      <c r="H6" s="1"/>
      <c r="I6" s="2"/>
      <c r="J6" s="2"/>
      <c r="K6" s="2"/>
      <c r="L6" s="2"/>
      <c r="M6" s="2"/>
      <c r="N6" s="2"/>
      <c r="O6" s="2"/>
      <c r="P6" s="2"/>
      <c r="Q6" s="4"/>
      <c r="R6" s="4"/>
      <c r="S6" s="4"/>
      <c r="AE6" s="6"/>
      <c r="AF6" s="2"/>
      <c r="AG6" s="2"/>
      <c r="AH6" s="2"/>
      <c r="AI6" s="2"/>
      <c r="AJ6" s="2"/>
      <c r="AK6" s="2"/>
      <c r="AL6" s="2"/>
      <c r="AM6" s="2"/>
    </row>
    <row r="7" spans="1:39" ht="13.5" customHeight="1" x14ac:dyDescent="0.2">
      <c r="A7" s="1"/>
      <c r="B7" s="2"/>
      <c r="C7" s="1"/>
      <c r="D7" s="1"/>
      <c r="E7" s="1"/>
      <c r="F7" s="1"/>
      <c r="G7" s="1"/>
      <c r="H7" s="1"/>
      <c r="I7" s="2"/>
      <c r="J7" s="2"/>
      <c r="K7" s="2"/>
      <c r="L7" s="22"/>
      <c r="M7" s="22"/>
      <c r="N7" s="22"/>
      <c r="O7" s="22"/>
      <c r="P7" s="22"/>
      <c r="Q7" s="4"/>
      <c r="R7" s="4"/>
      <c r="S7" s="4"/>
      <c r="T7" s="182" t="s">
        <v>10</v>
      </c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2"/>
      <c r="AF7" s="2"/>
      <c r="AG7" s="2"/>
      <c r="AH7" s="2"/>
      <c r="AI7" s="2"/>
      <c r="AJ7" s="2"/>
      <c r="AK7" s="2"/>
      <c r="AL7" s="2"/>
      <c r="AM7" s="2"/>
    </row>
    <row r="8" spans="1:39" ht="7.5" customHeight="1" x14ac:dyDescent="0.2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2"/>
      <c r="M8" s="22"/>
      <c r="N8" s="22"/>
      <c r="O8" s="22"/>
      <c r="P8" s="22"/>
      <c r="Q8" s="4"/>
      <c r="R8" s="4"/>
      <c r="S8" s="4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2"/>
      <c r="AF8" s="2"/>
      <c r="AG8" s="2"/>
      <c r="AH8" s="2"/>
      <c r="AI8" s="2"/>
      <c r="AJ8" s="2"/>
      <c r="AK8" s="2"/>
      <c r="AL8" s="2"/>
      <c r="AM8" s="2"/>
    </row>
    <row r="9" spans="1:39" ht="7.5" customHeight="1" x14ac:dyDescent="0.2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2"/>
      <c r="M9" s="22"/>
      <c r="N9" s="22"/>
      <c r="O9" s="22"/>
      <c r="P9" s="22"/>
      <c r="Q9" s="4"/>
      <c r="R9" s="4"/>
      <c r="S9" s="4"/>
      <c r="T9" s="1"/>
      <c r="U9" s="5"/>
      <c r="V9" s="5"/>
      <c r="W9" s="5"/>
      <c r="X9" s="5"/>
      <c r="Y9" s="5"/>
      <c r="Z9" s="5"/>
      <c r="AA9" s="5"/>
      <c r="AB9" s="5"/>
      <c r="AC9" s="5"/>
      <c r="AD9" s="5"/>
      <c r="AE9" s="2"/>
      <c r="AF9" s="2"/>
      <c r="AG9" s="2"/>
      <c r="AH9" s="2"/>
      <c r="AI9" s="2"/>
      <c r="AJ9" s="2"/>
      <c r="AK9" s="2"/>
      <c r="AL9" s="2"/>
      <c r="AM9" s="2"/>
    </row>
    <row r="10" spans="1:39" ht="7.5" customHeight="1" x14ac:dyDescent="0.2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2"/>
      <c r="M10" s="22"/>
      <c r="N10" s="22"/>
      <c r="O10" s="22"/>
      <c r="P10" s="22"/>
      <c r="Q10" s="4"/>
      <c r="R10" s="4"/>
      <c r="S10" s="4"/>
      <c r="AE10" s="2"/>
      <c r="AF10" s="2"/>
      <c r="AG10" s="2"/>
      <c r="AH10" s="2"/>
      <c r="AI10" s="2"/>
      <c r="AJ10" s="2"/>
      <c r="AK10" s="2"/>
      <c r="AL10" s="2"/>
      <c r="AM10" s="2"/>
    </row>
    <row r="11" spans="1:39" ht="7.5" customHeight="1" x14ac:dyDescent="0.2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4"/>
      <c r="R11" s="4"/>
      <c r="S11" s="4"/>
      <c r="AE11" s="2"/>
      <c r="AF11" s="2"/>
      <c r="AG11" s="2"/>
      <c r="AH11" s="2"/>
      <c r="AI11" s="2"/>
      <c r="AJ11" s="2"/>
      <c r="AK11" s="2"/>
      <c r="AL11" s="2"/>
      <c r="AM11" s="2"/>
    </row>
    <row r="12" spans="1:39" ht="7.5" customHeight="1" x14ac:dyDescent="0.2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4"/>
      <c r="R12" s="4"/>
      <c r="S12" s="4"/>
      <c r="T12" s="183" t="s">
        <v>1</v>
      </c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2"/>
      <c r="AF12" s="2"/>
      <c r="AG12" s="2"/>
      <c r="AH12" s="2"/>
      <c r="AI12" s="2"/>
      <c r="AJ12" s="2"/>
      <c r="AK12" s="2"/>
      <c r="AL12" s="2"/>
      <c r="AM12" s="2"/>
    </row>
    <row r="13" spans="1:39" ht="7.5" customHeight="1" x14ac:dyDescent="0.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7"/>
      <c r="M13" s="7"/>
      <c r="N13" s="7"/>
      <c r="O13" s="7"/>
      <c r="P13" s="184" t="s">
        <v>0</v>
      </c>
      <c r="Q13" s="184"/>
      <c r="R13" s="184"/>
      <c r="S13" s="8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2"/>
      <c r="AF13" s="2"/>
      <c r="AG13" s="2"/>
      <c r="AH13" s="2"/>
      <c r="AI13" s="2"/>
      <c r="AJ13" s="2"/>
      <c r="AK13" s="2"/>
      <c r="AL13" s="2"/>
      <c r="AM13" s="2"/>
    </row>
    <row r="14" spans="1:39" ht="7.5" customHeight="1" x14ac:dyDescent="0.2">
      <c r="A14" s="1"/>
      <c r="B14" s="2"/>
      <c r="C14" s="2"/>
      <c r="D14" s="2"/>
      <c r="E14" s="2"/>
      <c r="F14" s="2"/>
      <c r="G14" s="2"/>
      <c r="H14" s="2"/>
      <c r="I14" s="2"/>
      <c r="J14" s="121"/>
      <c r="K14" s="25"/>
      <c r="L14" s="25"/>
      <c r="M14" s="7"/>
      <c r="N14" s="9"/>
      <c r="O14" s="7"/>
      <c r="P14" s="184"/>
      <c r="Q14" s="184"/>
      <c r="R14" s="184"/>
      <c r="S14" s="8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0"/>
      <c r="AF14" s="2"/>
      <c r="AG14" s="2"/>
      <c r="AH14" s="2"/>
      <c r="AI14" s="2"/>
      <c r="AJ14" s="2"/>
      <c r="AK14" s="2"/>
      <c r="AL14" s="2"/>
      <c r="AM14" s="2"/>
    </row>
    <row r="15" spans="1:39" ht="7.5" customHeight="1" x14ac:dyDescent="0.2">
      <c r="A15" s="1"/>
      <c r="B15" s="2"/>
      <c r="C15" s="2"/>
      <c r="D15" s="2"/>
      <c r="E15" s="2"/>
      <c r="F15" s="2"/>
      <c r="G15" s="2"/>
      <c r="H15" s="2"/>
      <c r="I15" s="2"/>
      <c r="J15" s="121"/>
      <c r="K15" s="25"/>
      <c r="L15" s="25"/>
      <c r="M15" s="11"/>
      <c r="N15" s="1"/>
      <c r="O15" s="12"/>
      <c r="P15" s="180">
        <f ca="1">TODAY()</f>
        <v>46069</v>
      </c>
      <c r="Q15" s="180"/>
      <c r="R15" s="181">
        <f ca="1">NOW()</f>
        <v>46069.979460300929</v>
      </c>
      <c r="S15" s="1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0"/>
      <c r="AF15" s="2"/>
      <c r="AG15" s="2"/>
      <c r="AH15" s="2"/>
      <c r="AI15" s="2"/>
      <c r="AJ15" s="2"/>
      <c r="AK15" s="2"/>
      <c r="AL15" s="2"/>
      <c r="AM15" s="2"/>
    </row>
    <row r="16" spans="1:39" ht="7.5" customHeight="1" thickBot="1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11"/>
      <c r="L16" s="2"/>
      <c r="M16" s="2"/>
      <c r="N16" s="2"/>
      <c r="O16" s="1"/>
      <c r="P16" s="180"/>
      <c r="Q16" s="180"/>
      <c r="R16" s="181"/>
      <c r="S16" s="13"/>
      <c r="T16" s="23"/>
      <c r="U16" s="21"/>
      <c r="W16" s="21"/>
      <c r="X16" s="21"/>
      <c r="Z16" s="21"/>
      <c r="AA16" s="21"/>
      <c r="AC16" s="21"/>
      <c r="AD16" s="21"/>
      <c r="AE16" s="10"/>
      <c r="AF16" s="2"/>
      <c r="AG16" s="2"/>
      <c r="AH16" s="2"/>
      <c r="AI16" s="2"/>
      <c r="AJ16" s="2"/>
      <c r="AK16" s="2"/>
      <c r="AL16" s="2"/>
      <c r="AM16" s="2"/>
    </row>
    <row r="17" spans="1:39" ht="10.5" customHeight="1" thickTop="1" x14ac:dyDescent="0.2">
      <c r="A17" s="1"/>
      <c r="B17" s="2"/>
      <c r="C17" s="2"/>
      <c r="D17" s="2"/>
      <c r="E17" s="2"/>
      <c r="F17" s="2"/>
      <c r="G17" s="2"/>
      <c r="H17" s="2"/>
      <c r="I17" s="2"/>
      <c r="J17" s="2"/>
      <c r="K17" s="159" t="s">
        <v>2</v>
      </c>
      <c r="L17" s="162" t="s">
        <v>3</v>
      </c>
      <c r="M17" s="142"/>
      <c r="N17" s="165" t="s">
        <v>4</v>
      </c>
      <c r="O17" s="168" t="s">
        <v>5</v>
      </c>
      <c r="P17" s="171" t="s">
        <v>6</v>
      </c>
      <c r="Q17" s="185" t="s">
        <v>9</v>
      </c>
      <c r="R17" s="188" t="s">
        <v>8</v>
      </c>
      <c r="S17" s="14"/>
      <c r="T17" s="51"/>
      <c r="U17" s="52"/>
      <c r="V17" s="51"/>
      <c r="W17" s="51" t="e">
        <f>[1]Upcoming!$D$2</f>
        <v>#N/A</v>
      </c>
      <c r="X17" s="52" t="e">
        <f>[1]Upcoming!$E$2</f>
        <v>#N/A</v>
      </c>
      <c r="Y17" s="51"/>
      <c r="Z17" s="51" t="e">
        <f>[1]Upcoming!$F$2</f>
        <v>#N/A</v>
      </c>
      <c r="AA17" s="52" t="e">
        <f>[1]Upcoming!$G$2</f>
        <v>#N/A</v>
      </c>
      <c r="AB17" s="51"/>
      <c r="AC17" s="51" t="e">
        <f>[1]Upcoming!$H$2</f>
        <v>#N/A</v>
      </c>
      <c r="AD17" s="52" t="e">
        <f>[1]Upcoming!$I$2</f>
        <v>#N/A</v>
      </c>
      <c r="AE17" s="10"/>
      <c r="AF17" s="2"/>
      <c r="AG17" s="2"/>
      <c r="AH17" s="2"/>
      <c r="AI17" s="2"/>
      <c r="AJ17" s="2"/>
      <c r="AK17" s="2"/>
      <c r="AL17" s="2"/>
      <c r="AM17" s="2"/>
    </row>
    <row r="18" spans="1:39" ht="10.5" customHeight="1" x14ac:dyDescent="0.2">
      <c r="A18" s="1"/>
      <c r="B18" s="2"/>
      <c r="C18" s="2"/>
      <c r="D18" s="2"/>
      <c r="E18" s="2"/>
      <c r="F18" s="2"/>
      <c r="G18" s="2"/>
      <c r="H18" s="2"/>
      <c r="I18" s="2"/>
      <c r="J18" s="2"/>
      <c r="K18" s="160"/>
      <c r="L18" s="163"/>
      <c r="M18" s="143"/>
      <c r="N18" s="166"/>
      <c r="O18" s="169"/>
      <c r="P18" s="172"/>
      <c r="Q18" s="186"/>
      <c r="R18" s="189"/>
      <c r="S18" s="14"/>
      <c r="T18" s="51"/>
      <c r="U18" s="52"/>
      <c r="V18" s="51"/>
      <c r="W18" s="51" t="e">
        <f>[1]Upcoming!$D$3</f>
        <v>#N/A</v>
      </c>
      <c r="X18" s="52" t="e">
        <f>[1]Upcoming!$E$3</f>
        <v>#N/A</v>
      </c>
      <c r="Y18" s="51"/>
      <c r="Z18" s="51" t="e">
        <f>[1]Upcoming!$F$3</f>
        <v>#N/A</v>
      </c>
      <c r="AA18" s="52" t="e">
        <f>[1]Upcoming!$G$3</f>
        <v>#N/A</v>
      </c>
      <c r="AB18" s="51"/>
      <c r="AC18" s="51" t="e">
        <f>[1]Upcoming!$H$3</f>
        <v>#N/A</v>
      </c>
      <c r="AD18" s="52" t="e">
        <f>[1]Upcoming!$I$3</f>
        <v>#N/A</v>
      </c>
      <c r="AE18" s="10"/>
      <c r="AF18" s="2"/>
      <c r="AG18" s="2"/>
      <c r="AH18" s="2"/>
      <c r="AI18" s="2"/>
      <c r="AJ18" s="2"/>
      <c r="AK18" s="2"/>
      <c r="AL18" s="2"/>
      <c r="AM18" s="2"/>
    </row>
    <row r="19" spans="1:39" ht="10.5" customHeight="1" thickBot="1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161"/>
      <c r="L19" s="164"/>
      <c r="M19" s="144"/>
      <c r="N19" s="167"/>
      <c r="O19" s="170"/>
      <c r="P19" s="173"/>
      <c r="Q19" s="187"/>
      <c r="R19" s="190"/>
      <c r="S19" s="14"/>
      <c r="T19" s="51"/>
      <c r="U19" s="52"/>
      <c r="V19" s="24"/>
      <c r="W19" s="51" t="e">
        <f>[1]Upcoming!$D$4</f>
        <v>#N/A</v>
      </c>
      <c r="X19" s="52" t="e">
        <f>[1]Upcoming!$E$4</f>
        <v>#N/A</v>
      </c>
      <c r="Y19" s="24"/>
      <c r="Z19" s="51" t="e">
        <f>[1]Upcoming!$F$4</f>
        <v>#N/A</v>
      </c>
      <c r="AA19" s="52" t="e">
        <f>[1]Upcoming!$G$4</f>
        <v>#N/A</v>
      </c>
      <c r="AB19" s="24"/>
      <c r="AC19" s="51" t="e">
        <f>[1]Upcoming!$H$4</f>
        <v>#N/A</v>
      </c>
      <c r="AD19" s="52" t="e">
        <f>[1]Upcoming!$I$4</f>
        <v>#N/A</v>
      </c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15" customHeight="1" thickTop="1" thickBot="1" x14ac:dyDescent="0.25">
      <c r="A20" s="1"/>
      <c r="B20" s="2"/>
      <c r="C20" s="2"/>
      <c r="D20" s="2"/>
      <c r="E20" s="2"/>
      <c r="F20" s="2"/>
      <c r="G20" s="2"/>
      <c r="H20" s="2"/>
      <c r="I20" s="2"/>
      <c r="J20" s="2"/>
      <c r="K20" s="34">
        <v>1</v>
      </c>
      <c r="L20" s="68" t="s">
        <v>81</v>
      </c>
      <c r="M20" s="35"/>
      <c r="N20" s="36"/>
      <c r="O20" s="40"/>
      <c r="P20" s="41"/>
      <c r="Q20" s="37"/>
      <c r="R20" s="42"/>
      <c r="S20" s="19"/>
      <c r="T20" s="17"/>
      <c r="U20" s="18"/>
      <c r="V20" s="20"/>
      <c r="W20" s="17"/>
      <c r="X20" s="18"/>
      <c r="Y20" s="20"/>
      <c r="Z20" s="17"/>
      <c r="AA20" s="18"/>
      <c r="AB20" s="20"/>
      <c r="AC20" s="17"/>
      <c r="AD20" s="18"/>
      <c r="AE20" s="20"/>
      <c r="AF20" s="20"/>
      <c r="AG20" s="20"/>
      <c r="AH20" s="2"/>
      <c r="AI20" s="2"/>
      <c r="AJ20" s="2"/>
      <c r="AK20" s="2"/>
      <c r="AL20" s="2"/>
      <c r="AM20" s="2"/>
    </row>
    <row r="21" spans="1:39" ht="15" customHeight="1" thickBot="1" x14ac:dyDescent="0.25">
      <c r="A21" s="1"/>
      <c r="B21" s="2"/>
      <c r="C21" s="2"/>
      <c r="D21" s="2"/>
      <c r="E21" s="2"/>
      <c r="F21" s="2"/>
      <c r="G21" s="2"/>
      <c r="H21" s="2"/>
      <c r="I21" s="2"/>
      <c r="J21" s="2"/>
      <c r="K21" s="38">
        <v>2</v>
      </c>
      <c r="L21" s="69" t="s">
        <v>82</v>
      </c>
      <c r="M21" s="39"/>
      <c r="N21" s="36"/>
      <c r="O21" s="40"/>
      <c r="P21" s="41"/>
      <c r="Q21" s="37"/>
      <c r="R21" s="42"/>
      <c r="S21" s="19"/>
      <c r="T21" s="17"/>
      <c r="U21" s="18"/>
      <c r="V21" s="20"/>
      <c r="W21" s="17"/>
      <c r="X21" s="18"/>
      <c r="Y21" s="20"/>
      <c r="Z21" s="17"/>
      <c r="AA21" s="18"/>
      <c r="AB21" s="20"/>
      <c r="AC21" s="17"/>
      <c r="AD21" s="18"/>
      <c r="AE21" s="20"/>
      <c r="AF21" s="20"/>
      <c r="AG21" s="20"/>
      <c r="AH21" s="2"/>
      <c r="AI21" s="2"/>
      <c r="AJ21" s="2"/>
      <c r="AK21" s="2"/>
      <c r="AL21" s="2"/>
      <c r="AM21" s="2"/>
    </row>
    <row r="22" spans="1:39" ht="15" customHeight="1" thickBot="1" x14ac:dyDescent="0.25">
      <c r="A22" s="1"/>
      <c r="B22" s="2"/>
      <c r="C22" s="2"/>
      <c r="D22" s="2"/>
      <c r="E22" s="2"/>
      <c r="F22" s="2"/>
      <c r="G22" s="2"/>
      <c r="H22" s="2"/>
      <c r="I22" s="2"/>
      <c r="J22" s="2"/>
      <c r="K22" s="38">
        <v>3</v>
      </c>
      <c r="L22" s="69" t="s">
        <v>83</v>
      </c>
      <c r="M22" s="39"/>
      <c r="N22" s="36"/>
      <c r="O22" s="40"/>
      <c r="P22" s="41"/>
      <c r="Q22" s="37"/>
      <c r="R22" s="42"/>
      <c r="S22" s="19"/>
      <c r="T22" s="17"/>
      <c r="U22" s="18"/>
      <c r="V22" s="20"/>
      <c r="W22" s="17"/>
      <c r="X22" s="18"/>
      <c r="Y22" s="20"/>
      <c r="Z22" s="17"/>
      <c r="AA22" s="18"/>
      <c r="AB22" s="20"/>
      <c r="AC22" s="17"/>
      <c r="AD22" s="18"/>
      <c r="AE22" s="20"/>
      <c r="AF22" s="20"/>
      <c r="AG22" s="20"/>
      <c r="AH22" s="2"/>
      <c r="AI22" s="2"/>
      <c r="AJ22" s="2"/>
      <c r="AK22" s="2"/>
      <c r="AL22" s="2"/>
      <c r="AM22" s="2"/>
    </row>
    <row r="23" spans="1:39" ht="15" customHeight="1" thickBot="1" x14ac:dyDescent="0.25">
      <c r="A23" s="1"/>
      <c r="B23" s="2"/>
      <c r="C23" s="2"/>
      <c r="D23" s="2"/>
      <c r="E23" s="2"/>
      <c r="F23" s="2"/>
      <c r="G23" s="2"/>
      <c r="H23" s="2"/>
      <c r="I23" s="2"/>
      <c r="J23" s="2"/>
      <c r="K23" s="38">
        <v>4</v>
      </c>
      <c r="L23" s="69" t="s">
        <v>84</v>
      </c>
      <c r="M23" s="39"/>
      <c r="N23" s="36"/>
      <c r="O23" s="40"/>
      <c r="P23" s="41"/>
      <c r="Q23" s="37"/>
      <c r="R23" s="42"/>
      <c r="S23" s="19"/>
      <c r="T23" s="17"/>
      <c r="U23" s="18"/>
      <c r="V23" s="20"/>
      <c r="W23" s="17"/>
      <c r="X23" s="18"/>
      <c r="Y23" s="20"/>
      <c r="Z23" s="17"/>
      <c r="AA23" s="18"/>
      <c r="AB23" s="20"/>
      <c r="AC23" s="17"/>
      <c r="AD23" s="18"/>
      <c r="AE23" s="20"/>
      <c r="AF23" s="20"/>
      <c r="AG23" s="20"/>
      <c r="AH23" s="2"/>
      <c r="AI23" s="2"/>
      <c r="AJ23" s="2"/>
      <c r="AK23" s="2"/>
      <c r="AL23" s="2"/>
      <c r="AM23" s="2"/>
    </row>
    <row r="24" spans="1:39" ht="15" customHeight="1" thickBot="1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38">
        <v>5</v>
      </c>
      <c r="L24" s="69" t="s">
        <v>85</v>
      </c>
      <c r="M24" s="39"/>
      <c r="N24" s="36"/>
      <c r="O24" s="40"/>
      <c r="P24" s="41"/>
      <c r="Q24" s="37"/>
      <c r="R24" s="42"/>
      <c r="S24" s="19"/>
      <c r="T24" s="17"/>
      <c r="U24" s="18"/>
      <c r="V24" s="20"/>
      <c r="W24" s="17"/>
      <c r="X24" s="18"/>
      <c r="Y24" s="20"/>
      <c r="Z24" s="17"/>
      <c r="AA24" s="18"/>
      <c r="AB24" s="20"/>
      <c r="AC24" s="17"/>
      <c r="AD24" s="18"/>
      <c r="AE24" s="20"/>
      <c r="AF24" s="20"/>
      <c r="AG24" s="20"/>
      <c r="AH24" s="2"/>
      <c r="AI24" s="2"/>
      <c r="AJ24" s="2"/>
      <c r="AK24" s="2"/>
      <c r="AL24" s="2"/>
      <c r="AM24" s="2"/>
    </row>
    <row r="25" spans="1:39" ht="15" customHeight="1" thickBot="1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6">
        <v>6</v>
      </c>
      <c r="L25" s="70" t="s">
        <v>86</v>
      </c>
      <c r="M25" s="27"/>
      <c r="N25" s="28"/>
      <c r="O25" s="43"/>
      <c r="P25" s="44"/>
      <c r="Q25" s="32"/>
      <c r="R25" s="45"/>
      <c r="S25" s="19"/>
      <c r="T25" s="17"/>
      <c r="U25" s="18"/>
      <c r="V25" s="20"/>
      <c r="W25" s="17"/>
      <c r="X25" s="18"/>
      <c r="Y25" s="20"/>
      <c r="Z25" s="17"/>
      <c r="AA25" s="18"/>
      <c r="AB25" s="20"/>
      <c r="AC25" s="17"/>
      <c r="AD25" s="18"/>
      <c r="AE25" s="20"/>
      <c r="AF25" s="20"/>
      <c r="AG25" s="20"/>
      <c r="AH25" s="2"/>
      <c r="AI25" s="2"/>
      <c r="AJ25" s="2"/>
      <c r="AK25" s="2"/>
      <c r="AL25" s="2"/>
      <c r="AM25" s="2"/>
    </row>
    <row r="26" spans="1:39" ht="15" customHeight="1" thickBot="1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6">
        <v>7</v>
      </c>
      <c r="L26" s="70" t="s">
        <v>87</v>
      </c>
      <c r="M26" s="27"/>
      <c r="N26" s="28"/>
      <c r="O26" s="43"/>
      <c r="P26" s="44"/>
      <c r="Q26" s="32"/>
      <c r="R26" s="45"/>
      <c r="S26" s="19"/>
      <c r="T26" s="17"/>
      <c r="U26" s="18"/>
      <c r="V26" s="20"/>
      <c r="W26" s="17"/>
      <c r="X26" s="18"/>
      <c r="Y26" s="20"/>
      <c r="Z26" s="17"/>
      <c r="AA26" s="18"/>
      <c r="AB26" s="20"/>
      <c r="AC26" s="17"/>
      <c r="AD26" s="18"/>
      <c r="AE26" s="20"/>
      <c r="AF26" s="20"/>
      <c r="AG26" s="20"/>
      <c r="AH26" s="2"/>
      <c r="AI26" s="2"/>
      <c r="AJ26" s="2"/>
      <c r="AK26" s="2"/>
      <c r="AL26" s="2"/>
      <c r="AM26" s="2"/>
    </row>
    <row r="27" spans="1:39" ht="15" customHeight="1" thickBot="1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6">
        <v>8</v>
      </c>
      <c r="L27" s="70" t="s">
        <v>88</v>
      </c>
      <c r="M27" s="27"/>
      <c r="N27" s="28"/>
      <c r="O27" s="43"/>
      <c r="P27" s="44"/>
      <c r="Q27" s="32"/>
      <c r="R27" s="45"/>
      <c r="S27" s="19"/>
      <c r="T27" s="17"/>
      <c r="U27" s="18"/>
      <c r="V27" s="20"/>
      <c r="W27" s="17"/>
      <c r="X27" s="18"/>
      <c r="Y27" s="20"/>
      <c r="Z27" s="17"/>
      <c r="AA27" s="18"/>
      <c r="AB27" s="20"/>
      <c r="AC27" s="17"/>
      <c r="AD27" s="18"/>
      <c r="AE27" s="20"/>
      <c r="AF27" s="20"/>
      <c r="AG27" s="20"/>
      <c r="AH27" s="2"/>
      <c r="AI27" s="2"/>
      <c r="AJ27" s="2"/>
      <c r="AK27" s="2"/>
      <c r="AL27" s="2"/>
      <c r="AM27" s="2"/>
    </row>
    <row r="28" spans="1:39" ht="15" customHeight="1" thickBot="1" x14ac:dyDescent="0.25">
      <c r="A28" s="1"/>
      <c r="B28" s="2"/>
      <c r="C28" s="2"/>
      <c r="D28" s="2"/>
      <c r="E28" s="2"/>
      <c r="F28" s="2"/>
      <c r="G28" s="2"/>
      <c r="H28" s="2"/>
      <c r="I28" s="2"/>
      <c r="J28" s="2"/>
      <c r="K28" s="26">
        <v>9</v>
      </c>
      <c r="L28" s="70" t="s">
        <v>89</v>
      </c>
      <c r="M28" s="27"/>
      <c r="N28" s="28"/>
      <c r="O28" s="43"/>
      <c r="P28" s="44"/>
      <c r="Q28" s="32"/>
      <c r="R28" s="45"/>
      <c r="S28" s="19"/>
      <c r="T28" s="17"/>
      <c r="U28" s="18"/>
      <c r="V28" s="20"/>
      <c r="W28" s="17"/>
      <c r="X28" s="18"/>
      <c r="Y28" s="20"/>
      <c r="Z28" s="17"/>
      <c r="AA28" s="18"/>
      <c r="AB28" s="20"/>
      <c r="AC28" s="17"/>
      <c r="AD28" s="18"/>
      <c r="AE28" s="20"/>
      <c r="AF28" s="20"/>
      <c r="AG28" s="20"/>
      <c r="AH28" s="2"/>
      <c r="AI28" s="2"/>
      <c r="AJ28" s="2"/>
      <c r="AK28" s="2"/>
      <c r="AL28" s="2"/>
      <c r="AM28" s="2"/>
    </row>
    <row r="29" spans="1:39" ht="15" customHeight="1" thickBot="1" x14ac:dyDescent="0.25">
      <c r="A29" s="1"/>
      <c r="B29" s="2"/>
      <c r="C29" s="2"/>
      <c r="D29" s="2"/>
      <c r="E29" s="2"/>
      <c r="F29" s="2"/>
      <c r="G29" s="2"/>
      <c r="H29" s="2"/>
      <c r="I29" s="2"/>
      <c r="J29" s="2"/>
      <c r="K29" s="26">
        <v>10</v>
      </c>
      <c r="L29" s="70" t="s">
        <v>90</v>
      </c>
      <c r="M29" s="27"/>
      <c r="N29" s="28"/>
      <c r="O29" s="43"/>
      <c r="P29" s="44"/>
      <c r="Q29" s="32"/>
      <c r="R29" s="45"/>
      <c r="S29" s="19"/>
      <c r="T29" s="17"/>
      <c r="U29" s="18"/>
      <c r="V29" s="20"/>
      <c r="W29" s="17"/>
      <c r="X29" s="18"/>
      <c r="Y29" s="20"/>
      <c r="Z29" s="17"/>
      <c r="AA29" s="18"/>
      <c r="AB29" s="20"/>
      <c r="AC29" s="17"/>
      <c r="AD29" s="18"/>
      <c r="AE29" s="20"/>
      <c r="AF29" s="20"/>
      <c r="AG29" s="20"/>
      <c r="AH29" s="2"/>
      <c r="AI29" s="2"/>
      <c r="AJ29" s="2"/>
      <c r="AK29" s="2"/>
      <c r="AL29" s="2"/>
      <c r="AM29" s="2"/>
    </row>
    <row r="30" spans="1:39" ht="15" customHeight="1" thickBot="1" x14ac:dyDescent="0.25">
      <c r="A30" s="1"/>
      <c r="B30" s="2"/>
      <c r="C30" s="2"/>
      <c r="D30" s="2"/>
      <c r="E30" s="2"/>
      <c r="F30" s="2"/>
      <c r="G30" s="2"/>
      <c r="H30" s="2"/>
      <c r="I30" s="2"/>
      <c r="J30" s="2"/>
      <c r="K30" s="26">
        <v>11</v>
      </c>
      <c r="L30" s="70" t="s">
        <v>91</v>
      </c>
      <c r="M30" s="27"/>
      <c r="N30" s="28"/>
      <c r="O30" s="43"/>
      <c r="P30" s="44"/>
      <c r="Q30" s="32"/>
      <c r="R30" s="45"/>
      <c r="S30" s="19"/>
      <c r="T30" s="17"/>
      <c r="U30" s="18"/>
      <c r="V30" s="20"/>
      <c r="W30" s="17"/>
      <c r="X30" s="18"/>
      <c r="Y30" s="20"/>
      <c r="Z30" s="17"/>
      <c r="AA30" s="18"/>
      <c r="AB30" s="20"/>
      <c r="AC30" s="17"/>
      <c r="AD30" s="18"/>
      <c r="AE30" s="20"/>
      <c r="AF30" s="20"/>
      <c r="AG30" s="20"/>
      <c r="AH30" s="2"/>
      <c r="AI30" s="2"/>
      <c r="AJ30" s="2"/>
      <c r="AK30" s="2"/>
      <c r="AL30" s="2"/>
      <c r="AM30" s="2"/>
    </row>
    <row r="31" spans="1:39" ht="15" customHeight="1" thickBot="1" x14ac:dyDescent="0.25">
      <c r="A31" s="1"/>
      <c r="B31" s="2"/>
      <c r="C31" s="2"/>
      <c r="D31" s="2"/>
      <c r="E31" s="2"/>
      <c r="F31" s="2"/>
      <c r="G31" s="2"/>
      <c r="H31" s="2"/>
      <c r="I31" s="2"/>
      <c r="J31" s="2"/>
      <c r="K31" s="26">
        <v>12</v>
      </c>
      <c r="L31" s="70" t="s">
        <v>92</v>
      </c>
      <c r="M31" s="27"/>
      <c r="N31" s="28"/>
      <c r="O31" s="43"/>
      <c r="P31" s="44"/>
      <c r="Q31" s="32"/>
      <c r="R31" s="45"/>
      <c r="S31" s="19"/>
      <c r="T31" s="17"/>
      <c r="U31" s="18"/>
      <c r="V31" s="20"/>
      <c r="W31" s="17"/>
      <c r="X31" s="18"/>
      <c r="Y31" s="20"/>
      <c r="Z31" s="17"/>
      <c r="AA31" s="18"/>
      <c r="AB31" s="20"/>
      <c r="AC31" s="17"/>
      <c r="AD31" s="18"/>
      <c r="AE31" s="20"/>
      <c r="AF31" s="20"/>
      <c r="AG31" s="20"/>
      <c r="AH31" s="2"/>
      <c r="AI31" s="2"/>
      <c r="AJ31" s="2"/>
      <c r="AK31" s="2"/>
      <c r="AL31" s="2"/>
      <c r="AM31" s="2"/>
    </row>
    <row r="32" spans="1:39" ht="15" customHeight="1" thickBot="1" x14ac:dyDescent="0.25">
      <c r="A32" s="1"/>
      <c r="B32" s="2"/>
      <c r="C32" s="2"/>
      <c r="D32" s="2"/>
      <c r="E32" s="2"/>
      <c r="F32" s="2"/>
      <c r="G32" s="2"/>
      <c r="H32" s="2"/>
      <c r="I32" s="2"/>
      <c r="J32" s="2"/>
      <c r="K32" s="26">
        <v>13</v>
      </c>
      <c r="L32" s="70" t="s">
        <v>93</v>
      </c>
      <c r="M32" s="27"/>
      <c r="N32" s="28"/>
      <c r="O32" s="43"/>
      <c r="P32" s="44"/>
      <c r="Q32" s="32"/>
      <c r="R32" s="45"/>
      <c r="S32" s="19"/>
      <c r="T32" s="17"/>
      <c r="U32" s="18"/>
      <c r="V32" s="20"/>
      <c r="W32" s="17"/>
      <c r="X32" s="18"/>
      <c r="Y32" s="20"/>
      <c r="Z32" s="17"/>
      <c r="AA32" s="18"/>
      <c r="AB32" s="20"/>
      <c r="AC32" s="17"/>
      <c r="AD32" s="18"/>
      <c r="AE32" s="20"/>
      <c r="AF32" s="20"/>
      <c r="AG32" s="20"/>
      <c r="AH32" s="2"/>
      <c r="AI32" s="2"/>
      <c r="AJ32" s="2"/>
      <c r="AK32" s="2"/>
      <c r="AL32" s="2"/>
      <c r="AM32" s="2"/>
    </row>
    <row r="33" spans="1:39" ht="15" customHeight="1" thickBot="1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6">
        <v>14</v>
      </c>
      <c r="L33" s="70" t="s">
        <v>94</v>
      </c>
      <c r="M33" s="27"/>
      <c r="N33" s="28"/>
      <c r="O33" s="43"/>
      <c r="P33" s="44"/>
      <c r="Q33" s="32"/>
      <c r="R33" s="45"/>
      <c r="S33" s="19"/>
      <c r="T33" s="17"/>
      <c r="U33" s="18"/>
      <c r="V33" s="20"/>
      <c r="W33" s="17"/>
      <c r="X33" s="18"/>
      <c r="Y33" s="20"/>
      <c r="Z33" s="17"/>
      <c r="AA33" s="18"/>
      <c r="AB33" s="20"/>
      <c r="AC33" s="17"/>
      <c r="AD33" s="18"/>
      <c r="AE33" s="20"/>
      <c r="AF33" s="20"/>
      <c r="AG33" s="20"/>
      <c r="AH33" s="2"/>
      <c r="AI33" s="2"/>
      <c r="AJ33" s="2"/>
      <c r="AK33" s="2"/>
      <c r="AL33" s="2"/>
      <c r="AM33" s="2"/>
    </row>
    <row r="34" spans="1:39" ht="15" customHeight="1" thickBot="1" x14ac:dyDescent="0.25">
      <c r="A34" s="1"/>
      <c r="B34" s="2"/>
      <c r="C34" s="2"/>
      <c r="D34" s="2"/>
      <c r="E34" s="2"/>
      <c r="F34" s="2"/>
      <c r="G34" s="2"/>
      <c r="H34" s="2"/>
      <c r="I34" s="2"/>
      <c r="J34" s="2"/>
      <c r="K34" s="26">
        <v>15</v>
      </c>
      <c r="L34" s="70" t="s">
        <v>95</v>
      </c>
      <c r="M34" s="27"/>
      <c r="N34" s="28"/>
      <c r="O34" s="43"/>
      <c r="P34" s="44"/>
      <c r="Q34" s="32"/>
      <c r="R34" s="45"/>
      <c r="S34" s="19"/>
      <c r="T34" s="17"/>
      <c r="U34" s="18"/>
      <c r="V34" s="20"/>
      <c r="W34" s="17"/>
      <c r="X34" s="18"/>
      <c r="Y34" s="20"/>
      <c r="Z34" s="17"/>
      <c r="AA34" s="18"/>
      <c r="AB34" s="20"/>
      <c r="AC34" s="17"/>
      <c r="AD34" s="18"/>
      <c r="AE34" s="20"/>
      <c r="AF34" s="20"/>
      <c r="AG34" s="20"/>
      <c r="AH34" s="2"/>
      <c r="AI34" s="2"/>
      <c r="AJ34" s="2"/>
      <c r="AK34" s="2"/>
      <c r="AL34" s="2"/>
      <c r="AM34" s="2"/>
    </row>
    <row r="35" spans="1:39" ht="15" customHeight="1" thickBot="1" x14ac:dyDescent="0.25">
      <c r="A35" s="1"/>
      <c r="B35" s="2"/>
      <c r="C35" s="2"/>
      <c r="D35" s="2"/>
      <c r="E35" s="2"/>
      <c r="F35" s="2"/>
      <c r="G35" s="2"/>
      <c r="H35" s="2"/>
      <c r="I35" s="2"/>
      <c r="J35" s="2"/>
      <c r="K35" s="26">
        <v>16</v>
      </c>
      <c r="L35" s="70" t="s">
        <v>96</v>
      </c>
      <c r="M35" s="27"/>
      <c r="N35" s="28"/>
      <c r="O35" s="43"/>
      <c r="P35" s="44"/>
      <c r="Q35" s="32"/>
      <c r="R35" s="45"/>
      <c r="S35" s="19"/>
      <c r="T35" s="17"/>
      <c r="U35" s="18"/>
      <c r="V35" s="20"/>
      <c r="W35" s="17"/>
      <c r="X35" s="18"/>
      <c r="Y35" s="20"/>
      <c r="Z35" s="17"/>
      <c r="AA35" s="18"/>
      <c r="AB35" s="20"/>
      <c r="AC35" s="17"/>
      <c r="AD35" s="18"/>
      <c r="AE35" s="20"/>
      <c r="AF35" s="20"/>
      <c r="AG35" s="20"/>
      <c r="AH35" s="2"/>
      <c r="AI35" s="2"/>
      <c r="AJ35" s="2"/>
      <c r="AK35" s="2"/>
      <c r="AL35" s="2"/>
      <c r="AM35" s="2"/>
    </row>
    <row r="36" spans="1:39" ht="15" customHeight="1" thickBot="1" x14ac:dyDescent="0.25">
      <c r="A36" s="1"/>
      <c r="B36" s="2"/>
      <c r="C36" s="2"/>
      <c r="D36" s="2"/>
      <c r="E36" s="2"/>
      <c r="F36" s="2"/>
      <c r="G36" s="2"/>
      <c r="H36" s="2"/>
      <c r="I36" s="2"/>
      <c r="J36" s="2"/>
      <c r="K36" s="26">
        <v>17</v>
      </c>
      <c r="L36" s="70" t="s">
        <v>97</v>
      </c>
      <c r="M36" s="27"/>
      <c r="N36" s="28"/>
      <c r="O36" s="43"/>
      <c r="P36" s="44"/>
      <c r="Q36" s="32"/>
      <c r="R36" s="45"/>
      <c r="S36" s="19"/>
      <c r="T36" s="17"/>
      <c r="U36" s="18"/>
      <c r="V36" s="20"/>
      <c r="W36" s="17"/>
      <c r="X36" s="18"/>
      <c r="Y36" s="20"/>
      <c r="Z36" s="17"/>
      <c r="AA36" s="18"/>
      <c r="AB36" s="20"/>
      <c r="AC36" s="17"/>
      <c r="AD36" s="18"/>
      <c r="AE36" s="20"/>
      <c r="AF36" s="20"/>
      <c r="AG36" s="20"/>
      <c r="AH36" s="2"/>
      <c r="AI36" s="2"/>
      <c r="AJ36" s="2"/>
      <c r="AK36" s="2"/>
      <c r="AL36" s="2"/>
      <c r="AM36" s="2"/>
    </row>
    <row r="37" spans="1:39" ht="15" customHeight="1" thickBot="1" x14ac:dyDescent="0.25">
      <c r="A37" s="1"/>
      <c r="B37" s="2"/>
      <c r="C37" s="2"/>
      <c r="D37" s="2"/>
      <c r="E37" s="2"/>
      <c r="F37" s="2"/>
      <c r="G37" s="2"/>
      <c r="H37" s="2"/>
      <c r="I37" s="2"/>
      <c r="J37" s="2"/>
      <c r="K37" s="26">
        <v>18</v>
      </c>
      <c r="L37" s="70" t="s">
        <v>98</v>
      </c>
      <c r="M37" s="27"/>
      <c r="N37" s="28"/>
      <c r="O37" s="43"/>
      <c r="P37" s="44"/>
      <c r="Q37" s="32"/>
      <c r="R37" s="45"/>
      <c r="S37" s="19"/>
      <c r="T37" s="17"/>
      <c r="U37" s="18"/>
      <c r="V37" s="20"/>
      <c r="W37" s="17"/>
      <c r="X37" s="18"/>
      <c r="Y37" s="20"/>
      <c r="Z37" s="17"/>
      <c r="AA37" s="18"/>
      <c r="AB37" s="20"/>
      <c r="AC37" s="17"/>
      <c r="AD37" s="18"/>
      <c r="AE37" s="20"/>
      <c r="AF37" s="20"/>
      <c r="AG37" s="20"/>
      <c r="AH37" s="2"/>
      <c r="AI37" s="2"/>
      <c r="AJ37" s="2"/>
      <c r="AK37" s="2"/>
      <c r="AL37" s="2"/>
      <c r="AM37" s="2"/>
    </row>
    <row r="38" spans="1:39" ht="15" customHeight="1" thickBot="1" x14ac:dyDescent="0.25">
      <c r="A38" s="1"/>
      <c r="B38" s="2"/>
      <c r="C38" s="2"/>
      <c r="D38" s="2"/>
      <c r="E38" s="2"/>
      <c r="F38" s="2"/>
      <c r="G38" s="2"/>
      <c r="H38" s="2"/>
      <c r="I38" s="2"/>
      <c r="J38" s="2"/>
      <c r="K38" s="26">
        <v>19</v>
      </c>
      <c r="L38" s="70" t="s">
        <v>99</v>
      </c>
      <c r="M38" s="27"/>
      <c r="N38" s="28"/>
      <c r="O38" s="43"/>
      <c r="P38" s="44"/>
      <c r="Q38" s="32"/>
      <c r="R38" s="45"/>
      <c r="S38" s="19"/>
      <c r="T38" s="17"/>
      <c r="U38" s="18"/>
      <c r="V38" s="20"/>
      <c r="W38" s="17"/>
      <c r="X38" s="18"/>
      <c r="Y38" s="20"/>
      <c r="Z38" s="17"/>
      <c r="AA38" s="18"/>
      <c r="AB38" s="20"/>
      <c r="AC38" s="17"/>
      <c r="AD38" s="18"/>
      <c r="AE38" s="20"/>
      <c r="AF38" s="20"/>
      <c r="AG38" s="20"/>
      <c r="AH38" s="2"/>
      <c r="AI38" s="2"/>
      <c r="AJ38" s="2"/>
      <c r="AK38" s="2"/>
      <c r="AL38" s="2"/>
      <c r="AM38" s="2"/>
    </row>
    <row r="39" spans="1:39" ht="15" customHeight="1" thickBot="1" x14ac:dyDescent="0.25">
      <c r="A39" s="1"/>
      <c r="B39" s="2"/>
      <c r="C39" s="2"/>
      <c r="D39" s="2"/>
      <c r="E39" s="2"/>
      <c r="F39" s="2"/>
      <c r="G39" s="2"/>
      <c r="H39" s="2"/>
      <c r="I39" s="2"/>
      <c r="J39" s="2"/>
      <c r="K39" s="26">
        <v>20</v>
      </c>
      <c r="L39" s="70" t="s">
        <v>100</v>
      </c>
      <c r="M39" s="27"/>
      <c r="N39" s="28"/>
      <c r="O39" s="43"/>
      <c r="P39" s="44"/>
      <c r="Q39" s="32"/>
      <c r="R39" s="45"/>
      <c r="S39" s="19"/>
      <c r="T39" s="17"/>
      <c r="U39" s="18"/>
      <c r="V39" s="20"/>
      <c r="W39" s="17"/>
      <c r="X39" s="18"/>
      <c r="Y39" s="20"/>
      <c r="Z39" s="17"/>
      <c r="AA39" s="18"/>
      <c r="AB39" s="20"/>
      <c r="AC39" s="17"/>
      <c r="AD39" s="18"/>
      <c r="AE39" s="20"/>
      <c r="AF39" s="20"/>
      <c r="AG39" s="20"/>
      <c r="AH39" s="2"/>
      <c r="AI39" s="2"/>
      <c r="AJ39" s="2"/>
      <c r="AK39" s="2"/>
      <c r="AL39" s="2"/>
      <c r="AM39" s="2"/>
    </row>
    <row r="40" spans="1:39" ht="15" customHeight="1" thickBot="1" x14ac:dyDescent="0.25">
      <c r="A40" s="1"/>
      <c r="B40" s="2"/>
      <c r="C40" s="2"/>
      <c r="D40" s="2"/>
      <c r="E40" s="2"/>
      <c r="F40" s="2"/>
      <c r="G40" s="2"/>
      <c r="H40" s="2"/>
      <c r="I40" s="2"/>
      <c r="J40" s="2"/>
      <c r="K40" s="26">
        <v>21</v>
      </c>
      <c r="L40" s="70" t="s">
        <v>101</v>
      </c>
      <c r="M40" s="27"/>
      <c r="N40" s="28"/>
      <c r="O40" s="43"/>
      <c r="P40" s="44"/>
      <c r="Q40" s="32"/>
      <c r="R40" s="45"/>
      <c r="S40" s="19"/>
      <c r="T40" s="17"/>
      <c r="U40" s="18"/>
      <c r="V40" s="20"/>
      <c r="W40" s="17"/>
      <c r="X40" s="18"/>
      <c r="Y40" s="20"/>
      <c r="Z40" s="17"/>
      <c r="AA40" s="18"/>
      <c r="AB40" s="20"/>
      <c r="AC40" s="17"/>
      <c r="AD40" s="18"/>
      <c r="AE40" s="20"/>
      <c r="AF40" s="20"/>
      <c r="AG40" s="20"/>
      <c r="AH40" s="2"/>
      <c r="AI40" s="2"/>
      <c r="AJ40" s="2"/>
      <c r="AK40" s="2"/>
      <c r="AL40" s="2"/>
      <c r="AM40" s="2"/>
    </row>
    <row r="41" spans="1:39" ht="15" customHeight="1" thickBot="1" x14ac:dyDescent="0.25">
      <c r="A41" s="1"/>
      <c r="B41" s="2"/>
      <c r="C41" s="2"/>
      <c r="D41" s="2"/>
      <c r="E41" s="2"/>
      <c r="F41" s="2"/>
      <c r="G41" s="2"/>
      <c r="H41" s="2"/>
      <c r="I41" s="2"/>
      <c r="J41" s="2"/>
      <c r="K41" s="26">
        <v>22</v>
      </c>
      <c r="L41" s="70" t="s">
        <v>102</v>
      </c>
      <c r="M41" s="27"/>
      <c r="N41" s="28"/>
      <c r="O41" s="43"/>
      <c r="P41" s="44"/>
      <c r="Q41" s="32"/>
      <c r="R41" s="45"/>
      <c r="S41" s="19"/>
      <c r="T41" s="17"/>
      <c r="U41" s="18"/>
      <c r="V41" s="20"/>
      <c r="W41" s="17"/>
      <c r="X41" s="18"/>
      <c r="Y41" s="20"/>
      <c r="Z41" s="17"/>
      <c r="AA41" s="18"/>
      <c r="AB41" s="20"/>
      <c r="AC41" s="17"/>
      <c r="AD41" s="18"/>
      <c r="AE41" s="20"/>
      <c r="AF41" s="20"/>
      <c r="AG41" s="20"/>
      <c r="AH41" s="2"/>
      <c r="AI41" s="2"/>
      <c r="AJ41" s="2"/>
      <c r="AK41" s="2"/>
      <c r="AL41" s="2"/>
      <c r="AM41" s="2"/>
    </row>
    <row r="42" spans="1:39" ht="15" customHeight="1" thickBot="1" x14ac:dyDescent="0.25">
      <c r="A42" s="1"/>
      <c r="B42" s="2"/>
      <c r="C42" s="2"/>
      <c r="D42" s="2"/>
      <c r="E42" s="2"/>
      <c r="F42" s="2"/>
      <c r="G42" s="2"/>
      <c r="H42" s="2"/>
      <c r="I42" s="2"/>
      <c r="J42" s="2"/>
      <c r="K42" s="26">
        <v>23</v>
      </c>
      <c r="L42" s="70" t="s">
        <v>103</v>
      </c>
      <c r="M42" s="27"/>
      <c r="N42" s="28"/>
      <c r="O42" s="43"/>
      <c r="P42" s="44"/>
      <c r="Q42" s="32"/>
      <c r="R42" s="45"/>
      <c r="S42" s="19"/>
      <c r="T42" s="17"/>
      <c r="U42" s="18"/>
      <c r="V42" s="20"/>
      <c r="W42" s="17"/>
      <c r="X42" s="18"/>
      <c r="Y42" s="20"/>
      <c r="Z42" s="17"/>
      <c r="AA42" s="18"/>
      <c r="AB42" s="20"/>
      <c r="AC42" s="17"/>
      <c r="AD42" s="18"/>
      <c r="AE42" s="20"/>
      <c r="AF42" s="20"/>
      <c r="AG42" s="20"/>
      <c r="AH42" s="2"/>
      <c r="AI42" s="2"/>
      <c r="AJ42" s="2"/>
      <c r="AK42" s="2"/>
      <c r="AL42" s="2"/>
      <c r="AM42" s="2"/>
    </row>
    <row r="43" spans="1:39" ht="15" customHeight="1" thickBot="1" x14ac:dyDescent="0.25">
      <c r="A43" s="1"/>
      <c r="B43" s="2"/>
      <c r="C43" s="2"/>
      <c r="D43" s="2"/>
      <c r="E43" s="2"/>
      <c r="F43" s="2"/>
      <c r="G43" s="2"/>
      <c r="H43" s="2"/>
      <c r="I43" s="2"/>
      <c r="J43" s="2"/>
      <c r="K43" s="26">
        <v>24</v>
      </c>
      <c r="L43" s="70" t="s">
        <v>104</v>
      </c>
      <c r="M43" s="27"/>
      <c r="N43" s="28"/>
      <c r="O43" s="43"/>
      <c r="P43" s="44"/>
      <c r="Q43" s="32"/>
      <c r="R43" s="45"/>
      <c r="S43" s="19"/>
      <c r="T43" s="17"/>
      <c r="U43" s="18"/>
      <c r="V43" s="20"/>
      <c r="W43" s="17"/>
      <c r="X43" s="18"/>
      <c r="Y43" s="20"/>
      <c r="Z43" s="17"/>
      <c r="AA43" s="18"/>
      <c r="AB43" s="20"/>
      <c r="AC43" s="17"/>
      <c r="AD43" s="18"/>
      <c r="AE43" s="20"/>
      <c r="AF43" s="20"/>
      <c r="AG43" s="20"/>
      <c r="AH43" s="2"/>
      <c r="AI43" s="2"/>
      <c r="AJ43" s="2"/>
      <c r="AK43" s="2"/>
      <c r="AL43" s="2"/>
      <c r="AM43" s="2"/>
    </row>
    <row r="44" spans="1:39" ht="15" customHeight="1" thickBot="1" x14ac:dyDescent="0.25">
      <c r="A44" s="1"/>
      <c r="B44" s="2"/>
      <c r="C44" s="2"/>
      <c r="D44" s="2"/>
      <c r="E44" s="2"/>
      <c r="F44" s="2"/>
      <c r="G44" s="2"/>
      <c r="H44" s="2"/>
      <c r="I44" s="2"/>
      <c r="J44" s="2"/>
      <c r="K44" s="26">
        <v>25</v>
      </c>
      <c r="L44" s="70" t="s">
        <v>105</v>
      </c>
      <c r="M44" s="27"/>
      <c r="N44" s="28"/>
      <c r="O44" s="43"/>
      <c r="P44" s="44"/>
      <c r="Q44" s="32"/>
      <c r="R44" s="45"/>
      <c r="S44" s="19"/>
      <c r="T44" s="17"/>
      <c r="U44" s="18"/>
      <c r="V44" s="20"/>
      <c r="W44" s="17"/>
      <c r="X44" s="18"/>
      <c r="Y44" s="20"/>
      <c r="Z44" s="17"/>
      <c r="AA44" s="18"/>
      <c r="AB44" s="20"/>
      <c r="AC44" s="17"/>
      <c r="AD44" s="18"/>
      <c r="AE44" s="20"/>
      <c r="AF44" s="20"/>
      <c r="AG44" s="20"/>
      <c r="AH44" s="2"/>
      <c r="AI44" s="2"/>
      <c r="AJ44" s="2"/>
      <c r="AK44" s="2"/>
      <c r="AL44" s="2"/>
      <c r="AM44" s="2"/>
    </row>
    <row r="45" spans="1:39" ht="15" customHeight="1" thickBot="1" x14ac:dyDescent="0.25">
      <c r="A45" s="1"/>
      <c r="B45" s="2"/>
      <c r="C45" s="2"/>
      <c r="D45" s="2"/>
      <c r="E45" s="2"/>
      <c r="F45" s="2"/>
      <c r="G45" s="2"/>
      <c r="H45" s="2"/>
      <c r="I45" s="2"/>
      <c r="J45" s="2"/>
      <c r="K45" s="26">
        <v>26</v>
      </c>
      <c r="L45" s="70" t="s">
        <v>106</v>
      </c>
      <c r="M45" s="27"/>
      <c r="N45" s="28"/>
      <c r="O45" s="43"/>
      <c r="P45" s="44"/>
      <c r="Q45" s="32"/>
      <c r="R45" s="45"/>
      <c r="S45" s="19"/>
      <c r="T45" s="17"/>
      <c r="U45" s="18"/>
      <c r="V45" s="20"/>
      <c r="W45" s="17"/>
      <c r="X45" s="18"/>
      <c r="Y45" s="20"/>
      <c r="Z45" s="17"/>
      <c r="AA45" s="18"/>
      <c r="AB45" s="20"/>
      <c r="AC45" s="17"/>
      <c r="AD45" s="18"/>
      <c r="AE45" s="20"/>
      <c r="AF45" s="20"/>
      <c r="AG45" s="20"/>
      <c r="AH45" s="2"/>
      <c r="AI45" s="2"/>
      <c r="AJ45" s="2"/>
      <c r="AK45" s="2"/>
      <c r="AL45" s="2"/>
      <c r="AM45" s="2"/>
    </row>
    <row r="46" spans="1:39" ht="15" customHeight="1" thickBot="1" x14ac:dyDescent="0.25">
      <c r="A46" s="1"/>
      <c r="B46" s="2"/>
      <c r="C46" s="2"/>
      <c r="D46" s="2"/>
      <c r="E46" s="2"/>
      <c r="F46" s="2"/>
      <c r="G46" s="2"/>
      <c r="H46" s="2"/>
      <c r="I46" s="2"/>
      <c r="J46" s="2"/>
      <c r="K46" s="26">
        <v>27</v>
      </c>
      <c r="L46" s="70" t="s">
        <v>107</v>
      </c>
      <c r="M46" s="27"/>
      <c r="N46" s="28"/>
      <c r="O46" s="43"/>
      <c r="P46" s="44"/>
      <c r="Q46" s="32"/>
      <c r="R46" s="45"/>
      <c r="S46" s="19"/>
      <c r="T46" s="17"/>
      <c r="U46" s="18"/>
      <c r="V46" s="20"/>
      <c r="W46" s="17"/>
      <c r="X46" s="18"/>
      <c r="Y46" s="20"/>
      <c r="Z46" s="17"/>
      <c r="AA46" s="18"/>
      <c r="AB46" s="20"/>
      <c r="AC46" s="17"/>
      <c r="AD46" s="18"/>
      <c r="AE46" s="20"/>
      <c r="AF46" s="20"/>
      <c r="AG46" s="20"/>
      <c r="AH46" s="2"/>
      <c r="AI46" s="2"/>
      <c r="AJ46" s="2"/>
      <c r="AK46" s="2"/>
      <c r="AL46" s="2"/>
      <c r="AM46" s="2"/>
    </row>
    <row r="47" spans="1:39" ht="15" customHeight="1" thickBot="1" x14ac:dyDescent="0.25">
      <c r="A47" s="1"/>
      <c r="B47" s="2"/>
      <c r="C47" s="2"/>
      <c r="D47" s="2"/>
      <c r="E47" s="2"/>
      <c r="F47" s="2"/>
      <c r="G47" s="2"/>
      <c r="H47" s="2"/>
      <c r="I47" s="2"/>
      <c r="J47" s="2"/>
      <c r="K47" s="26">
        <v>28</v>
      </c>
      <c r="L47" s="70" t="s">
        <v>108</v>
      </c>
      <c r="M47" s="27"/>
      <c r="N47" s="28"/>
      <c r="O47" s="43"/>
      <c r="P47" s="44"/>
      <c r="Q47" s="32"/>
      <c r="R47" s="45"/>
      <c r="S47" s="19"/>
      <c r="T47" s="17"/>
      <c r="U47" s="18"/>
      <c r="V47" s="20"/>
      <c r="W47" s="17"/>
      <c r="X47" s="18"/>
      <c r="Y47" s="20"/>
      <c r="Z47" s="17"/>
      <c r="AA47" s="18"/>
      <c r="AB47" s="20"/>
      <c r="AC47" s="17"/>
      <c r="AD47" s="18"/>
      <c r="AE47" s="20"/>
      <c r="AF47" s="20"/>
      <c r="AG47" s="20"/>
      <c r="AH47" s="2"/>
      <c r="AI47" s="2"/>
      <c r="AJ47" s="2"/>
      <c r="AK47" s="2"/>
      <c r="AL47" s="2"/>
      <c r="AM47" s="2"/>
    </row>
    <row r="48" spans="1:39" ht="15" customHeight="1" thickBot="1" x14ac:dyDescent="0.25">
      <c r="A48" s="1"/>
      <c r="B48" s="2"/>
      <c r="C48" s="2"/>
      <c r="D48" s="2"/>
      <c r="E48" s="2"/>
      <c r="F48" s="2"/>
      <c r="G48" s="2"/>
      <c r="H48" s="2"/>
      <c r="I48" s="2"/>
      <c r="J48" s="2"/>
      <c r="K48" s="26">
        <v>29</v>
      </c>
      <c r="L48" s="70" t="s">
        <v>109</v>
      </c>
      <c r="M48" s="27"/>
      <c r="N48" s="28"/>
      <c r="O48" s="43"/>
      <c r="P48" s="44"/>
      <c r="Q48" s="32"/>
      <c r="R48" s="45"/>
      <c r="S48" s="19"/>
      <c r="T48" s="17"/>
      <c r="U48" s="18"/>
      <c r="V48" s="20"/>
      <c r="W48" s="17"/>
      <c r="X48" s="18"/>
      <c r="Y48" s="20"/>
      <c r="Z48" s="17"/>
      <c r="AA48" s="18"/>
      <c r="AB48" s="20"/>
      <c r="AC48" s="17"/>
      <c r="AD48" s="18"/>
      <c r="AE48" s="20"/>
      <c r="AF48" s="20"/>
      <c r="AG48" s="20"/>
      <c r="AH48" s="2"/>
      <c r="AI48" s="2"/>
      <c r="AJ48" s="2"/>
      <c r="AK48" s="2"/>
      <c r="AL48" s="2"/>
      <c r="AM48" s="2"/>
    </row>
    <row r="49" spans="1:39" ht="15" customHeight="1" thickBot="1" x14ac:dyDescent="0.25">
      <c r="A49" s="1"/>
      <c r="B49" s="2"/>
      <c r="C49" s="2"/>
      <c r="D49" s="2"/>
      <c r="E49" s="2"/>
      <c r="F49" s="2"/>
      <c r="G49" s="2"/>
      <c r="H49" s="2"/>
      <c r="I49" s="2"/>
      <c r="J49" s="2"/>
      <c r="K49" s="26">
        <v>30</v>
      </c>
      <c r="L49" s="70" t="s">
        <v>110</v>
      </c>
      <c r="M49" s="27"/>
      <c r="N49" s="28"/>
      <c r="O49" s="43"/>
      <c r="P49" s="44"/>
      <c r="Q49" s="32"/>
      <c r="R49" s="45"/>
      <c r="S49" s="19"/>
      <c r="T49" s="17"/>
      <c r="U49" s="18"/>
      <c r="V49" s="20"/>
      <c r="W49" s="17"/>
      <c r="X49" s="18"/>
      <c r="Y49" s="20"/>
      <c r="Z49" s="17"/>
      <c r="AA49" s="18"/>
      <c r="AB49" s="20"/>
      <c r="AC49" s="17"/>
      <c r="AD49" s="18"/>
      <c r="AE49" s="20"/>
      <c r="AF49" s="20"/>
      <c r="AG49" s="20"/>
      <c r="AH49" s="2"/>
      <c r="AI49" s="2"/>
      <c r="AJ49" s="2"/>
      <c r="AK49" s="2"/>
      <c r="AL49" s="2"/>
      <c r="AM49" s="2"/>
    </row>
    <row r="50" spans="1:39" ht="15" customHeight="1" thickBot="1" x14ac:dyDescent="0.25">
      <c r="A50" s="1"/>
      <c r="B50" s="2"/>
      <c r="C50" s="2"/>
      <c r="D50" s="2"/>
      <c r="E50" s="2"/>
      <c r="F50" s="2"/>
      <c r="G50" s="2"/>
      <c r="H50" s="2"/>
      <c r="I50" s="2"/>
      <c r="J50" s="2"/>
      <c r="K50" s="26">
        <v>31</v>
      </c>
      <c r="L50" s="70" t="s">
        <v>111</v>
      </c>
      <c r="M50" s="27"/>
      <c r="N50" s="28"/>
      <c r="O50" s="43"/>
      <c r="P50" s="44"/>
      <c r="Q50" s="32"/>
      <c r="R50" s="45"/>
      <c r="S50" s="19"/>
      <c r="T50" s="17"/>
      <c r="U50" s="18"/>
      <c r="V50" s="20"/>
      <c r="W50" s="17"/>
      <c r="X50" s="18"/>
      <c r="Y50" s="20"/>
      <c r="Z50" s="17"/>
      <c r="AA50" s="18"/>
      <c r="AB50" s="20"/>
      <c r="AC50" s="17"/>
      <c r="AD50" s="18"/>
      <c r="AE50" s="20"/>
      <c r="AF50" s="20"/>
      <c r="AG50" s="20"/>
      <c r="AH50" s="2"/>
      <c r="AI50" s="2"/>
      <c r="AJ50" s="2"/>
      <c r="AK50" s="2"/>
      <c r="AL50" s="2"/>
      <c r="AM50" s="2"/>
    </row>
    <row r="51" spans="1:39" ht="15" customHeight="1" thickBot="1" x14ac:dyDescent="0.25">
      <c r="A51" s="1"/>
      <c r="B51" s="2"/>
      <c r="C51" s="2"/>
      <c r="D51" s="2"/>
      <c r="E51" s="2"/>
      <c r="F51" s="2"/>
      <c r="G51" s="2"/>
      <c r="H51" s="2"/>
      <c r="I51" s="2"/>
      <c r="J51" s="2"/>
      <c r="K51" s="26">
        <v>32</v>
      </c>
      <c r="L51" s="70" t="s">
        <v>112</v>
      </c>
      <c r="M51" s="27"/>
      <c r="N51" s="28"/>
      <c r="O51" s="43"/>
      <c r="P51" s="44"/>
      <c r="Q51" s="32"/>
      <c r="R51" s="45"/>
      <c r="S51" s="19"/>
      <c r="T51" s="17"/>
      <c r="U51" s="18"/>
      <c r="V51" s="20"/>
      <c r="W51" s="17"/>
      <c r="X51" s="18"/>
      <c r="Y51" s="20"/>
      <c r="Z51" s="17"/>
      <c r="AA51" s="18"/>
      <c r="AB51" s="20"/>
      <c r="AC51" s="17"/>
      <c r="AD51" s="18"/>
      <c r="AE51" s="20"/>
      <c r="AF51" s="20"/>
      <c r="AG51" s="20"/>
      <c r="AH51" s="2"/>
      <c r="AI51" s="2"/>
      <c r="AJ51" s="2"/>
      <c r="AK51" s="2"/>
      <c r="AL51" s="2"/>
      <c r="AM51" s="2"/>
    </row>
    <row r="52" spans="1:39" ht="15" customHeight="1" thickBot="1" x14ac:dyDescent="0.25">
      <c r="A52" s="1"/>
      <c r="B52" s="2"/>
      <c r="C52" s="2"/>
      <c r="D52" s="2"/>
      <c r="E52" s="2"/>
      <c r="F52" s="2"/>
      <c r="G52" s="2"/>
      <c r="H52" s="2"/>
      <c r="I52" s="2"/>
      <c r="J52" s="2"/>
      <c r="K52" s="26">
        <v>33</v>
      </c>
      <c r="L52" s="70" t="s">
        <v>113</v>
      </c>
      <c r="M52" s="27"/>
      <c r="N52" s="28"/>
      <c r="O52" s="43"/>
      <c r="P52" s="44"/>
      <c r="Q52" s="32"/>
      <c r="R52" s="45"/>
      <c r="S52" s="19"/>
      <c r="T52" s="17"/>
      <c r="U52" s="18"/>
      <c r="V52" s="20"/>
      <c r="W52" s="17"/>
      <c r="X52" s="18"/>
      <c r="Y52" s="20"/>
      <c r="Z52" s="17"/>
      <c r="AA52" s="18"/>
      <c r="AB52" s="20"/>
      <c r="AC52" s="17"/>
      <c r="AD52" s="18"/>
      <c r="AE52" s="20"/>
      <c r="AF52" s="20"/>
      <c r="AG52" s="20"/>
      <c r="AH52" s="2"/>
      <c r="AI52" s="2"/>
      <c r="AJ52" s="2"/>
      <c r="AK52" s="2"/>
      <c r="AL52" s="2"/>
      <c r="AM52" s="2"/>
    </row>
    <row r="53" spans="1:39" ht="15" customHeight="1" thickBot="1" x14ac:dyDescent="0.25">
      <c r="A53" s="1"/>
      <c r="B53" s="2"/>
      <c r="C53" s="2"/>
      <c r="D53" s="2"/>
      <c r="E53" s="2"/>
      <c r="F53" s="2"/>
      <c r="G53" s="2"/>
      <c r="H53" s="2"/>
      <c r="I53" s="2"/>
      <c r="J53" s="2"/>
      <c r="K53" s="26">
        <v>34</v>
      </c>
      <c r="L53" s="70" t="s">
        <v>114</v>
      </c>
      <c r="M53" s="27"/>
      <c r="N53" s="28"/>
      <c r="O53" s="43"/>
      <c r="P53" s="44"/>
      <c r="Q53" s="32"/>
      <c r="R53" s="45"/>
      <c r="S53" s="19"/>
      <c r="T53" s="17"/>
      <c r="U53" s="18"/>
      <c r="V53" s="20"/>
      <c r="W53" s="17"/>
      <c r="X53" s="18"/>
      <c r="Y53" s="20"/>
      <c r="Z53" s="17"/>
      <c r="AA53" s="18"/>
      <c r="AB53" s="20"/>
      <c r="AC53" s="17"/>
      <c r="AD53" s="18"/>
      <c r="AE53" s="20"/>
      <c r="AF53" s="20"/>
      <c r="AG53" s="20"/>
      <c r="AH53" s="2"/>
      <c r="AI53" s="2"/>
      <c r="AJ53" s="2"/>
      <c r="AK53" s="2"/>
      <c r="AL53" s="2"/>
      <c r="AM53" s="2"/>
    </row>
    <row r="54" spans="1:39" ht="15" customHeight="1" thickBot="1" x14ac:dyDescent="0.25">
      <c r="A54" s="1"/>
      <c r="B54" s="2"/>
      <c r="C54" s="2"/>
      <c r="D54" s="2"/>
      <c r="E54" s="2"/>
      <c r="F54" s="2"/>
      <c r="G54" s="15"/>
      <c r="H54" s="2"/>
      <c r="I54" s="2"/>
      <c r="J54" s="2"/>
      <c r="K54" s="26">
        <v>35</v>
      </c>
      <c r="L54" s="70" t="s">
        <v>115</v>
      </c>
      <c r="M54" s="27"/>
      <c r="N54" s="28"/>
      <c r="O54" s="43"/>
      <c r="P54" s="44"/>
      <c r="Q54" s="32"/>
      <c r="R54" s="45"/>
      <c r="S54" s="19"/>
      <c r="T54" s="17"/>
      <c r="U54" s="18"/>
      <c r="V54" s="20"/>
      <c r="W54" s="17"/>
      <c r="X54" s="18"/>
      <c r="Y54" s="20"/>
      <c r="Z54" s="17"/>
      <c r="AA54" s="18"/>
      <c r="AB54" s="20"/>
      <c r="AC54" s="17"/>
      <c r="AD54" s="18"/>
      <c r="AE54" s="20"/>
      <c r="AF54" s="20"/>
      <c r="AG54" s="20"/>
      <c r="AH54" s="2"/>
      <c r="AI54" s="2"/>
      <c r="AJ54" s="2"/>
      <c r="AK54" s="2"/>
      <c r="AL54" s="2"/>
      <c r="AM54" s="2"/>
    </row>
    <row r="55" spans="1:39" ht="15" customHeight="1" thickBot="1" x14ac:dyDescent="0.25">
      <c r="A55" s="1"/>
      <c r="B55" s="2"/>
      <c r="C55" s="2"/>
      <c r="D55" s="2"/>
      <c r="E55" s="2"/>
      <c r="F55" s="2"/>
      <c r="G55" s="2"/>
      <c r="H55" s="2"/>
      <c r="I55" s="2"/>
      <c r="J55" s="2"/>
      <c r="K55" s="26">
        <v>36</v>
      </c>
      <c r="L55" s="70" t="s">
        <v>116</v>
      </c>
      <c r="M55" s="27"/>
      <c r="N55" s="28"/>
      <c r="O55" s="43"/>
      <c r="P55" s="44"/>
      <c r="Q55" s="32"/>
      <c r="R55" s="45"/>
      <c r="S55" s="19"/>
      <c r="T55" s="17"/>
      <c r="U55" s="18"/>
      <c r="V55" s="20"/>
      <c r="W55" s="17"/>
      <c r="X55" s="18"/>
      <c r="Y55" s="20"/>
      <c r="Z55" s="17"/>
      <c r="AA55" s="18"/>
      <c r="AB55" s="20"/>
      <c r="AC55" s="17"/>
      <c r="AD55" s="18"/>
      <c r="AE55" s="20"/>
      <c r="AF55" s="20"/>
      <c r="AG55" s="20"/>
      <c r="AH55" s="2"/>
      <c r="AI55" s="2"/>
      <c r="AJ55" s="2"/>
      <c r="AK55" s="2"/>
      <c r="AL55" s="2"/>
      <c r="AM55" s="2"/>
    </row>
    <row r="56" spans="1:39" ht="15" customHeight="1" thickBot="1" x14ac:dyDescent="0.25">
      <c r="A56" s="1"/>
      <c r="B56" s="2"/>
      <c r="C56" s="2"/>
      <c r="D56" s="2"/>
      <c r="E56" s="2"/>
      <c r="F56" s="2"/>
      <c r="G56" s="2"/>
      <c r="H56" s="2"/>
      <c r="I56" s="2"/>
      <c r="J56" s="2"/>
      <c r="K56" s="26">
        <v>37</v>
      </c>
      <c r="L56" s="70" t="s">
        <v>117</v>
      </c>
      <c r="M56" s="27"/>
      <c r="N56" s="28"/>
      <c r="O56" s="43"/>
      <c r="P56" s="44"/>
      <c r="Q56" s="32"/>
      <c r="R56" s="45"/>
      <c r="S56" s="19"/>
      <c r="T56" s="17"/>
      <c r="U56" s="18"/>
      <c r="V56" s="20"/>
      <c r="W56" s="17"/>
      <c r="X56" s="18"/>
      <c r="Y56" s="20"/>
      <c r="Z56" s="17"/>
      <c r="AA56" s="18"/>
      <c r="AB56" s="20"/>
      <c r="AC56" s="17"/>
      <c r="AD56" s="18"/>
      <c r="AE56" s="20"/>
      <c r="AF56" s="20"/>
      <c r="AG56" s="20"/>
      <c r="AH56" s="2"/>
      <c r="AI56" s="2"/>
      <c r="AJ56" s="2"/>
      <c r="AK56" s="2"/>
      <c r="AL56" s="2"/>
      <c r="AM56" s="2"/>
    </row>
    <row r="57" spans="1:39" ht="15" customHeight="1" thickBot="1" x14ac:dyDescent="0.25">
      <c r="A57" s="1"/>
      <c r="B57" s="2"/>
      <c r="C57" s="2"/>
      <c r="D57" s="2"/>
      <c r="E57" s="2"/>
      <c r="F57" s="2"/>
      <c r="G57" s="2"/>
      <c r="H57" s="2"/>
      <c r="I57" s="2"/>
      <c r="J57" s="2"/>
      <c r="K57" s="26">
        <v>38</v>
      </c>
      <c r="L57" s="70" t="s">
        <v>118</v>
      </c>
      <c r="M57" s="27"/>
      <c r="N57" s="28"/>
      <c r="O57" s="43"/>
      <c r="P57" s="44"/>
      <c r="Q57" s="32"/>
      <c r="R57" s="45"/>
      <c r="S57" s="19"/>
      <c r="T57" s="17"/>
      <c r="U57" s="18"/>
      <c r="V57" s="20"/>
      <c r="W57" s="17"/>
      <c r="X57" s="18"/>
      <c r="Y57" s="20"/>
      <c r="Z57" s="17"/>
      <c r="AA57" s="18"/>
      <c r="AB57" s="20"/>
      <c r="AC57" s="17"/>
      <c r="AD57" s="18"/>
      <c r="AE57" s="20"/>
      <c r="AF57" s="20"/>
      <c r="AG57" s="20"/>
      <c r="AH57" s="2"/>
      <c r="AI57" s="2"/>
      <c r="AJ57" s="2"/>
      <c r="AK57" s="2"/>
      <c r="AL57" s="2"/>
      <c r="AM57" s="2"/>
    </row>
    <row r="58" spans="1:39" ht="15" customHeight="1" thickBot="1" x14ac:dyDescent="0.25">
      <c r="A58" s="1"/>
      <c r="B58" s="2"/>
      <c r="C58" s="2"/>
      <c r="D58" s="2"/>
      <c r="E58" s="2"/>
      <c r="F58" s="2"/>
      <c r="G58" s="2"/>
      <c r="H58" s="2"/>
      <c r="I58" s="2"/>
      <c r="J58" s="2"/>
      <c r="K58" s="26">
        <v>39</v>
      </c>
      <c r="L58" s="70" t="s">
        <v>119</v>
      </c>
      <c r="M58" s="27"/>
      <c r="N58" s="28"/>
      <c r="O58" s="43"/>
      <c r="P58" s="44"/>
      <c r="Q58" s="32"/>
      <c r="R58" s="45"/>
      <c r="S58" s="19"/>
      <c r="T58" s="17"/>
      <c r="U58" s="18"/>
      <c r="V58" s="20"/>
      <c r="W58" s="17"/>
      <c r="X58" s="18"/>
      <c r="Y58" s="20"/>
      <c r="Z58" s="17"/>
      <c r="AA58" s="18"/>
      <c r="AB58" s="20"/>
      <c r="AC58" s="17"/>
      <c r="AD58" s="18"/>
      <c r="AE58" s="20"/>
      <c r="AF58" s="20"/>
      <c r="AG58" s="20"/>
      <c r="AH58" s="2"/>
      <c r="AI58" s="2"/>
      <c r="AJ58" s="2"/>
      <c r="AK58" s="2"/>
      <c r="AL58" s="2"/>
      <c r="AM58" s="2"/>
    </row>
    <row r="59" spans="1:39" ht="15" customHeight="1" thickBot="1" x14ac:dyDescent="0.25">
      <c r="A59" s="1"/>
      <c r="B59" s="2"/>
      <c r="C59" s="2"/>
      <c r="D59" s="2"/>
      <c r="E59" s="2"/>
      <c r="F59" s="2"/>
      <c r="G59" s="2"/>
      <c r="H59" s="2"/>
      <c r="I59" s="2"/>
      <c r="J59" s="2"/>
      <c r="K59" s="26">
        <v>40</v>
      </c>
      <c r="L59" s="70" t="s">
        <v>120</v>
      </c>
      <c r="M59" s="27"/>
      <c r="N59" s="28"/>
      <c r="O59" s="43"/>
      <c r="P59" s="44"/>
      <c r="Q59" s="32"/>
      <c r="R59" s="45"/>
      <c r="S59" s="19"/>
      <c r="T59" s="17"/>
      <c r="U59" s="18"/>
      <c r="V59" s="20"/>
      <c r="W59" s="17"/>
      <c r="X59" s="18"/>
      <c r="Y59" s="20"/>
      <c r="Z59" s="17"/>
      <c r="AA59" s="18"/>
      <c r="AB59" s="20"/>
      <c r="AC59" s="17"/>
      <c r="AD59" s="18"/>
      <c r="AE59" s="20"/>
      <c r="AF59" s="20"/>
      <c r="AG59" s="20"/>
      <c r="AH59" s="2"/>
      <c r="AI59" s="2"/>
      <c r="AJ59" s="2"/>
      <c r="AK59" s="2"/>
      <c r="AL59" s="2"/>
      <c r="AM59" s="2"/>
    </row>
    <row r="60" spans="1:39" ht="15" customHeight="1" thickBot="1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6">
        <v>41</v>
      </c>
      <c r="L60" s="70" t="s">
        <v>121</v>
      </c>
      <c r="M60" s="27"/>
      <c r="N60" s="28"/>
      <c r="O60" s="43"/>
      <c r="P60" s="44"/>
      <c r="Q60" s="32"/>
      <c r="R60" s="45"/>
      <c r="S60" s="19"/>
      <c r="T60" s="17"/>
      <c r="U60" s="18"/>
      <c r="V60" s="20"/>
      <c r="W60" s="17"/>
      <c r="X60" s="18"/>
      <c r="Y60" s="20"/>
      <c r="Z60" s="17"/>
      <c r="AA60" s="18"/>
      <c r="AB60" s="20"/>
      <c r="AC60" s="17"/>
      <c r="AD60" s="18"/>
      <c r="AE60" s="20"/>
      <c r="AF60" s="20"/>
      <c r="AG60" s="20"/>
      <c r="AH60" s="2"/>
      <c r="AI60" s="2"/>
      <c r="AJ60" s="2"/>
      <c r="AK60" s="2"/>
      <c r="AL60" s="2"/>
      <c r="AM60" s="2"/>
    </row>
    <row r="61" spans="1:39" ht="15" customHeight="1" thickBot="1" x14ac:dyDescent="0.25">
      <c r="A61" s="1"/>
      <c r="B61" s="2"/>
      <c r="C61" s="2"/>
      <c r="D61" s="2"/>
      <c r="E61" s="2"/>
      <c r="F61" s="2"/>
      <c r="G61" s="2"/>
      <c r="H61" s="2"/>
      <c r="I61" s="2"/>
      <c r="J61" s="2"/>
      <c r="K61" s="26">
        <v>42</v>
      </c>
      <c r="L61" s="70" t="s">
        <v>122</v>
      </c>
      <c r="M61" s="27"/>
      <c r="N61" s="28"/>
      <c r="O61" s="43"/>
      <c r="P61" s="44"/>
      <c r="Q61" s="32"/>
      <c r="R61" s="45"/>
      <c r="S61" s="19"/>
      <c r="T61" s="17"/>
      <c r="U61" s="18"/>
      <c r="V61" s="20"/>
      <c r="W61" s="17"/>
      <c r="X61" s="18"/>
      <c r="Y61" s="20"/>
      <c r="Z61" s="17"/>
      <c r="AA61" s="18"/>
      <c r="AB61" s="20"/>
      <c r="AC61" s="17"/>
      <c r="AD61" s="18"/>
      <c r="AE61" s="20"/>
      <c r="AF61" s="20"/>
      <c r="AG61" s="20"/>
      <c r="AH61" s="2"/>
      <c r="AI61" s="2"/>
      <c r="AJ61" s="2"/>
      <c r="AK61" s="2"/>
      <c r="AL61" s="2"/>
      <c r="AM61" s="2"/>
    </row>
    <row r="62" spans="1:39" ht="15" customHeight="1" thickBot="1" x14ac:dyDescent="0.25">
      <c r="A62" s="1"/>
      <c r="B62" s="2"/>
      <c r="C62" s="2"/>
      <c r="D62" s="2"/>
      <c r="E62" s="2"/>
      <c r="F62" s="2"/>
      <c r="G62" s="2"/>
      <c r="H62" s="2"/>
      <c r="I62" s="2"/>
      <c r="J62" s="2"/>
      <c r="K62" s="26">
        <v>43</v>
      </c>
      <c r="L62" s="70" t="s">
        <v>123</v>
      </c>
      <c r="M62" s="27"/>
      <c r="N62" s="28"/>
      <c r="O62" s="43"/>
      <c r="P62" s="44"/>
      <c r="Q62" s="32"/>
      <c r="R62" s="45"/>
      <c r="S62" s="19"/>
      <c r="T62" s="17"/>
      <c r="U62" s="18"/>
      <c r="V62" s="20"/>
      <c r="W62" s="17"/>
      <c r="X62" s="18"/>
      <c r="Y62" s="20"/>
      <c r="Z62" s="17"/>
      <c r="AA62" s="18"/>
      <c r="AB62" s="20"/>
      <c r="AC62" s="17"/>
      <c r="AD62" s="18"/>
      <c r="AE62" s="20"/>
      <c r="AF62" s="20"/>
      <c r="AG62" s="20"/>
      <c r="AH62" s="2"/>
      <c r="AI62" s="2"/>
      <c r="AJ62" s="2"/>
      <c r="AK62" s="2"/>
      <c r="AL62" s="2"/>
      <c r="AM62" s="2"/>
    </row>
    <row r="63" spans="1:39" ht="15" customHeight="1" thickBot="1" x14ac:dyDescent="0.25">
      <c r="A63" s="1"/>
      <c r="B63" s="2"/>
      <c r="C63" s="2"/>
      <c r="D63" s="2"/>
      <c r="E63" s="2"/>
      <c r="F63" s="2"/>
      <c r="G63" s="2"/>
      <c r="H63" s="2"/>
      <c r="I63" s="2"/>
      <c r="J63" s="2"/>
      <c r="K63" s="26">
        <v>44</v>
      </c>
      <c r="L63" s="70" t="s">
        <v>124</v>
      </c>
      <c r="M63" s="27"/>
      <c r="N63" s="28"/>
      <c r="O63" s="43"/>
      <c r="P63" s="44"/>
      <c r="Q63" s="32"/>
      <c r="R63" s="45"/>
      <c r="S63" s="19"/>
      <c r="T63" s="17"/>
      <c r="U63" s="18"/>
      <c r="V63" s="20"/>
      <c r="W63" s="17"/>
      <c r="X63" s="18"/>
      <c r="Y63" s="20"/>
      <c r="Z63" s="17"/>
      <c r="AA63" s="18"/>
      <c r="AB63" s="20"/>
      <c r="AC63" s="17"/>
      <c r="AD63" s="18"/>
      <c r="AE63" s="20"/>
      <c r="AF63" s="20"/>
      <c r="AG63" s="20"/>
      <c r="AH63" s="2"/>
      <c r="AI63" s="2"/>
      <c r="AJ63" s="2"/>
      <c r="AK63" s="2"/>
      <c r="AL63" s="2"/>
      <c r="AM63" s="2"/>
    </row>
    <row r="64" spans="1:39" ht="15" customHeight="1" thickBot="1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26">
        <v>45</v>
      </c>
      <c r="L64" s="70" t="s">
        <v>125</v>
      </c>
      <c r="M64" s="27"/>
      <c r="N64" s="28"/>
      <c r="O64" s="43"/>
      <c r="P64" s="44"/>
      <c r="Q64" s="32"/>
      <c r="R64" s="45"/>
      <c r="S64" s="19"/>
      <c r="T64" s="17"/>
      <c r="U64" s="18"/>
      <c r="V64" s="20"/>
      <c r="W64" s="17"/>
      <c r="X64" s="18"/>
      <c r="Y64" s="20"/>
      <c r="Z64" s="17"/>
      <c r="AA64" s="18"/>
      <c r="AB64" s="20"/>
      <c r="AC64" s="17"/>
      <c r="AD64" s="18"/>
      <c r="AE64" s="20"/>
      <c r="AF64" s="20"/>
      <c r="AG64" s="20"/>
      <c r="AH64" s="2"/>
      <c r="AI64" s="2"/>
      <c r="AJ64" s="2"/>
      <c r="AK64" s="2"/>
      <c r="AL64" s="2"/>
      <c r="AM64" s="2"/>
    </row>
    <row r="65" spans="1:39" ht="15" customHeight="1" thickBot="1" x14ac:dyDescent="0.25">
      <c r="A65" s="1"/>
      <c r="B65" s="2"/>
      <c r="C65" s="2"/>
      <c r="D65" s="2"/>
      <c r="E65" s="2"/>
      <c r="F65" s="2"/>
      <c r="G65" s="2"/>
      <c r="H65" s="2"/>
      <c r="I65" s="2"/>
      <c r="J65" s="2"/>
      <c r="K65" s="26">
        <v>46</v>
      </c>
      <c r="L65" s="70" t="s">
        <v>126</v>
      </c>
      <c r="M65" s="27"/>
      <c r="N65" s="28"/>
      <c r="O65" s="43"/>
      <c r="P65" s="44"/>
      <c r="Q65" s="32"/>
      <c r="R65" s="45"/>
      <c r="S65" s="19"/>
      <c r="T65" s="17"/>
      <c r="U65" s="18"/>
      <c r="V65" s="20"/>
      <c r="W65" s="17"/>
      <c r="X65" s="18"/>
      <c r="Y65" s="20"/>
      <c r="Z65" s="17"/>
      <c r="AA65" s="18"/>
      <c r="AB65" s="20"/>
      <c r="AC65" s="17"/>
      <c r="AD65" s="18"/>
      <c r="AE65" s="20"/>
      <c r="AF65" s="20"/>
      <c r="AG65" s="20"/>
      <c r="AH65" s="2"/>
      <c r="AI65" s="2"/>
      <c r="AJ65" s="2"/>
      <c r="AK65" s="2"/>
      <c r="AL65" s="2"/>
      <c r="AM65" s="2"/>
    </row>
    <row r="66" spans="1:39" ht="15" customHeight="1" thickBot="1" x14ac:dyDescent="0.25">
      <c r="A66" s="1"/>
      <c r="B66" s="2"/>
      <c r="C66" s="2"/>
      <c r="D66" s="2"/>
      <c r="E66" s="2"/>
      <c r="F66" s="2"/>
      <c r="G66" s="2"/>
      <c r="H66" s="2"/>
      <c r="I66" s="2"/>
      <c r="J66" s="2"/>
      <c r="K66" s="26">
        <v>47</v>
      </c>
      <c r="L66" s="70" t="s">
        <v>127</v>
      </c>
      <c r="M66" s="27"/>
      <c r="N66" s="28"/>
      <c r="O66" s="43"/>
      <c r="P66" s="44"/>
      <c r="Q66" s="32"/>
      <c r="R66" s="45"/>
      <c r="S66" s="19"/>
      <c r="T66" s="17"/>
      <c r="U66" s="18"/>
      <c r="V66" s="20"/>
      <c r="W66" s="17"/>
      <c r="X66" s="18"/>
      <c r="Y66" s="20"/>
      <c r="Z66" s="17"/>
      <c r="AA66" s="18"/>
      <c r="AB66" s="20"/>
      <c r="AC66" s="17"/>
      <c r="AD66" s="18"/>
      <c r="AE66" s="20"/>
      <c r="AF66" s="20"/>
      <c r="AG66" s="20"/>
      <c r="AH66" s="2"/>
      <c r="AI66" s="2"/>
      <c r="AJ66" s="2"/>
      <c r="AK66" s="2"/>
      <c r="AL66" s="2"/>
      <c r="AM66" s="2"/>
    </row>
    <row r="67" spans="1:39" ht="15" customHeight="1" thickBot="1" x14ac:dyDescent="0.25">
      <c r="A67" s="1"/>
      <c r="B67" s="2"/>
      <c r="C67" s="2"/>
      <c r="D67" s="2"/>
      <c r="E67" s="2"/>
      <c r="F67" s="2"/>
      <c r="G67" s="2"/>
      <c r="H67" s="2"/>
      <c r="I67" s="2"/>
      <c r="J67" s="2"/>
      <c r="K67" s="26">
        <v>48</v>
      </c>
      <c r="L67" s="70" t="s">
        <v>128</v>
      </c>
      <c r="M67" s="27"/>
      <c r="N67" s="28"/>
      <c r="O67" s="43"/>
      <c r="P67" s="44"/>
      <c r="Q67" s="32"/>
      <c r="R67" s="45"/>
      <c r="S67" s="19"/>
      <c r="T67" s="17"/>
      <c r="U67" s="18"/>
      <c r="V67" s="20"/>
      <c r="W67" s="17"/>
      <c r="X67" s="18"/>
      <c r="Y67" s="20"/>
      <c r="Z67" s="17"/>
      <c r="AA67" s="18"/>
      <c r="AB67" s="20"/>
      <c r="AC67" s="17"/>
      <c r="AD67" s="18"/>
      <c r="AE67" s="20"/>
      <c r="AF67" s="20"/>
      <c r="AG67" s="20"/>
      <c r="AH67" s="2"/>
      <c r="AI67" s="2"/>
      <c r="AJ67" s="2"/>
      <c r="AK67" s="2"/>
      <c r="AL67" s="2"/>
      <c r="AM67" s="2"/>
    </row>
    <row r="68" spans="1:39" ht="15" customHeight="1" thickBot="1" x14ac:dyDescent="0.25">
      <c r="A68" s="1"/>
      <c r="B68" s="2"/>
      <c r="C68" s="2"/>
      <c r="D68" s="2"/>
      <c r="E68" s="2"/>
      <c r="F68" s="2"/>
      <c r="G68" s="2"/>
      <c r="H68" s="2"/>
      <c r="I68" s="2"/>
      <c r="J68" s="2"/>
      <c r="K68" s="26">
        <v>49</v>
      </c>
      <c r="L68" s="70" t="s">
        <v>129</v>
      </c>
      <c r="M68" s="27"/>
      <c r="N68" s="28"/>
      <c r="O68" s="43"/>
      <c r="P68" s="44"/>
      <c r="Q68" s="32"/>
      <c r="R68" s="45"/>
      <c r="S68" s="19"/>
      <c r="T68" s="17"/>
      <c r="U68" s="18"/>
      <c r="V68" s="20"/>
      <c r="W68" s="17"/>
      <c r="X68" s="18"/>
      <c r="Y68" s="20"/>
      <c r="Z68" s="17"/>
      <c r="AA68" s="18"/>
      <c r="AB68" s="20"/>
      <c r="AC68" s="17"/>
      <c r="AD68" s="18"/>
      <c r="AE68" s="20"/>
      <c r="AF68" s="20"/>
      <c r="AG68" s="20"/>
      <c r="AH68" s="2"/>
      <c r="AI68" s="2"/>
      <c r="AJ68" s="2"/>
      <c r="AK68" s="2"/>
      <c r="AL68" s="2"/>
      <c r="AM68" s="2"/>
    </row>
    <row r="69" spans="1:39" ht="15" customHeight="1" thickBot="1" x14ac:dyDescent="0.25">
      <c r="A69" s="1"/>
      <c r="B69" s="2"/>
      <c r="C69" s="2"/>
      <c r="D69" s="2"/>
      <c r="E69" s="2"/>
      <c r="F69" s="2"/>
      <c r="G69" s="2"/>
      <c r="H69" s="2"/>
      <c r="I69" s="2"/>
      <c r="J69" s="2"/>
      <c r="K69" s="26">
        <v>50</v>
      </c>
      <c r="L69" s="70" t="s">
        <v>130</v>
      </c>
      <c r="M69" s="27"/>
      <c r="N69" s="28"/>
      <c r="O69" s="43"/>
      <c r="P69" s="44"/>
      <c r="Q69" s="32"/>
      <c r="R69" s="45"/>
      <c r="S69" s="19"/>
      <c r="T69" s="17"/>
      <c r="U69" s="18"/>
      <c r="V69" s="20"/>
      <c r="W69" s="17"/>
      <c r="X69" s="18"/>
      <c r="Y69" s="20"/>
      <c r="Z69" s="17"/>
      <c r="AA69" s="18"/>
      <c r="AB69" s="20"/>
      <c r="AC69" s="17"/>
      <c r="AD69" s="18"/>
      <c r="AE69" s="20"/>
      <c r="AF69" s="20"/>
      <c r="AG69" s="20"/>
      <c r="AH69" s="2"/>
      <c r="AI69" s="2"/>
      <c r="AJ69" s="2"/>
      <c r="AK69" s="2"/>
      <c r="AL69" s="2"/>
      <c r="AM69" s="2"/>
    </row>
    <row r="70" spans="1:39" ht="15" customHeight="1" thickBot="1" x14ac:dyDescent="0.25">
      <c r="A70" s="1"/>
      <c r="B70" s="2"/>
      <c r="C70" s="2"/>
      <c r="D70" s="2"/>
      <c r="E70" s="2"/>
      <c r="F70" s="2"/>
      <c r="G70" s="2"/>
      <c r="H70" s="2"/>
      <c r="I70" s="2"/>
      <c r="J70" s="2"/>
      <c r="K70" s="26">
        <v>51</v>
      </c>
      <c r="L70" s="70" t="s">
        <v>131</v>
      </c>
      <c r="M70" s="27"/>
      <c r="N70" s="28"/>
      <c r="O70" s="43"/>
      <c r="P70" s="44"/>
      <c r="Q70" s="32"/>
      <c r="R70" s="45"/>
      <c r="S70" s="19"/>
      <c r="T70" s="17"/>
      <c r="U70" s="18"/>
      <c r="V70" s="20"/>
      <c r="W70" s="17"/>
      <c r="X70" s="18"/>
      <c r="Y70" s="20"/>
      <c r="Z70" s="17"/>
      <c r="AA70" s="18"/>
      <c r="AB70" s="20"/>
      <c r="AC70" s="17"/>
      <c r="AD70" s="18"/>
      <c r="AE70" s="20"/>
      <c r="AF70" s="20"/>
      <c r="AG70" s="20"/>
      <c r="AH70" s="2"/>
      <c r="AI70" s="2"/>
      <c r="AJ70" s="2"/>
      <c r="AK70" s="2"/>
      <c r="AL70" s="2"/>
      <c r="AM70" s="2"/>
    </row>
    <row r="71" spans="1:39" ht="15" customHeight="1" thickBot="1" x14ac:dyDescent="0.25">
      <c r="A71" s="1"/>
      <c r="B71" s="2"/>
      <c r="C71" s="2"/>
      <c r="D71" s="2"/>
      <c r="E71" s="2"/>
      <c r="F71" s="2"/>
      <c r="G71" s="2"/>
      <c r="H71" s="2"/>
      <c r="I71" s="2"/>
      <c r="J71" s="2"/>
      <c r="K71" s="26">
        <v>52</v>
      </c>
      <c r="L71" s="70" t="s">
        <v>132</v>
      </c>
      <c r="M71" s="27"/>
      <c r="N71" s="28"/>
      <c r="O71" s="43"/>
      <c r="P71" s="44"/>
      <c r="Q71" s="32"/>
      <c r="R71" s="45"/>
      <c r="S71" s="19"/>
      <c r="T71" s="17"/>
      <c r="U71" s="18"/>
      <c r="V71" s="20"/>
      <c r="W71" s="17"/>
      <c r="X71" s="18"/>
      <c r="Y71" s="20"/>
      <c r="Z71" s="17"/>
      <c r="AA71" s="18"/>
      <c r="AB71" s="20"/>
      <c r="AC71" s="17"/>
      <c r="AD71" s="18"/>
      <c r="AE71" s="20"/>
      <c r="AF71" s="20"/>
      <c r="AG71" s="20"/>
      <c r="AH71" s="2"/>
      <c r="AI71" s="2"/>
      <c r="AJ71" s="2"/>
      <c r="AK71" s="2"/>
      <c r="AL71" s="2"/>
      <c r="AM71" s="2"/>
    </row>
    <row r="72" spans="1:39" ht="15" customHeight="1" thickBot="1" x14ac:dyDescent="0.25">
      <c r="A72" s="1"/>
      <c r="B72" s="2"/>
      <c r="C72" s="2"/>
      <c r="D72" s="2"/>
      <c r="E72" s="2"/>
      <c r="F72" s="2"/>
      <c r="G72" s="2"/>
      <c r="H72" s="2"/>
      <c r="I72" s="2"/>
      <c r="J72" s="2"/>
      <c r="K72" s="26">
        <v>53</v>
      </c>
      <c r="L72" s="70" t="s">
        <v>133</v>
      </c>
      <c r="M72" s="27"/>
      <c r="N72" s="28"/>
      <c r="O72" s="43"/>
      <c r="P72" s="44"/>
      <c r="Q72" s="32"/>
      <c r="R72" s="45"/>
      <c r="S72" s="19"/>
      <c r="T72" s="17"/>
      <c r="U72" s="18"/>
      <c r="V72" s="20"/>
      <c r="W72" s="17"/>
      <c r="X72" s="18"/>
      <c r="Y72" s="20"/>
      <c r="Z72" s="17"/>
      <c r="AA72" s="18"/>
      <c r="AB72" s="20"/>
      <c r="AC72" s="17"/>
      <c r="AD72" s="18"/>
      <c r="AE72" s="20"/>
      <c r="AF72" s="20"/>
      <c r="AG72" s="20"/>
      <c r="AH72" s="2"/>
      <c r="AI72" s="2"/>
      <c r="AJ72" s="2"/>
      <c r="AK72" s="2"/>
      <c r="AL72" s="2"/>
      <c r="AM72" s="2"/>
    </row>
    <row r="73" spans="1:39" ht="15" customHeight="1" thickBot="1" x14ac:dyDescent="0.25">
      <c r="A73" s="1"/>
      <c r="B73" s="2"/>
      <c r="C73" s="2"/>
      <c r="D73" s="2"/>
      <c r="E73" s="2"/>
      <c r="F73" s="2"/>
      <c r="G73" s="2"/>
      <c r="H73" s="2"/>
      <c r="I73" s="2"/>
      <c r="J73" s="2"/>
      <c r="K73" s="26">
        <v>54</v>
      </c>
      <c r="L73" s="70" t="s">
        <v>134</v>
      </c>
      <c r="M73" s="27"/>
      <c r="N73" s="28"/>
      <c r="O73" s="43"/>
      <c r="P73" s="44"/>
      <c r="Q73" s="32"/>
      <c r="R73" s="45"/>
      <c r="S73" s="19"/>
      <c r="T73" s="17"/>
      <c r="U73" s="18"/>
      <c r="V73" s="20"/>
      <c r="W73" s="17"/>
      <c r="X73" s="18"/>
      <c r="Y73" s="20"/>
      <c r="Z73" s="17"/>
      <c r="AA73" s="18"/>
      <c r="AB73" s="20"/>
      <c r="AC73" s="17"/>
      <c r="AD73" s="18"/>
      <c r="AE73" s="20"/>
      <c r="AF73" s="20"/>
      <c r="AG73" s="20"/>
      <c r="AH73" s="2"/>
      <c r="AI73" s="2"/>
      <c r="AJ73" s="2"/>
      <c r="AK73" s="2"/>
      <c r="AL73" s="2"/>
      <c r="AM73" s="2"/>
    </row>
    <row r="74" spans="1:39" ht="15" customHeight="1" thickBot="1" x14ac:dyDescent="0.25">
      <c r="A74" s="1"/>
      <c r="B74" s="2"/>
      <c r="C74" s="2"/>
      <c r="D74" s="2"/>
      <c r="E74" s="2"/>
      <c r="F74" s="2"/>
      <c r="G74" s="2"/>
      <c r="H74" s="2"/>
      <c r="I74" s="2"/>
      <c r="J74" s="2"/>
      <c r="K74" s="26">
        <v>55</v>
      </c>
      <c r="L74" s="70" t="s">
        <v>135</v>
      </c>
      <c r="M74" s="27"/>
      <c r="N74" s="28"/>
      <c r="O74" s="43"/>
      <c r="P74" s="44"/>
      <c r="Q74" s="32"/>
      <c r="R74" s="45"/>
      <c r="S74" s="19"/>
      <c r="T74" s="17"/>
      <c r="U74" s="18"/>
      <c r="V74" s="20"/>
      <c r="W74" s="17"/>
      <c r="X74" s="18"/>
      <c r="Y74" s="20"/>
      <c r="Z74" s="17"/>
      <c r="AA74" s="18"/>
      <c r="AB74" s="20"/>
      <c r="AC74" s="17"/>
      <c r="AD74" s="18"/>
      <c r="AE74" s="20"/>
      <c r="AF74" s="20"/>
      <c r="AG74" s="20"/>
      <c r="AH74" s="2"/>
      <c r="AI74" s="2"/>
      <c r="AJ74" s="2"/>
      <c r="AK74" s="2"/>
      <c r="AL74" s="2"/>
      <c r="AM74" s="2"/>
    </row>
    <row r="75" spans="1:39" ht="15" customHeight="1" thickBot="1" x14ac:dyDescent="0.25">
      <c r="A75" s="1"/>
      <c r="B75" s="2"/>
      <c r="C75" s="2"/>
      <c r="D75" s="2"/>
      <c r="E75" s="2"/>
      <c r="F75" s="2"/>
      <c r="G75" s="2"/>
      <c r="H75" s="2"/>
      <c r="I75" s="2"/>
      <c r="J75" s="2"/>
      <c r="K75" s="26">
        <v>56</v>
      </c>
      <c r="L75" s="70" t="s">
        <v>136</v>
      </c>
      <c r="M75" s="27"/>
      <c r="N75" s="28"/>
      <c r="O75" s="43"/>
      <c r="P75" s="44"/>
      <c r="Q75" s="32"/>
      <c r="R75" s="45"/>
      <c r="S75" s="19"/>
      <c r="T75" s="17"/>
      <c r="U75" s="18"/>
      <c r="V75" s="20"/>
      <c r="W75" s="17"/>
      <c r="X75" s="18"/>
      <c r="Y75" s="20"/>
      <c r="Z75" s="17"/>
      <c r="AA75" s="18"/>
      <c r="AB75" s="20"/>
      <c r="AC75" s="17"/>
      <c r="AD75" s="18"/>
      <c r="AE75" s="20"/>
      <c r="AF75" s="20"/>
      <c r="AG75" s="20"/>
      <c r="AH75" s="2"/>
      <c r="AI75" s="2"/>
      <c r="AJ75" s="2"/>
      <c r="AK75" s="2"/>
      <c r="AL75" s="2"/>
      <c r="AM75" s="2"/>
    </row>
    <row r="76" spans="1:39" ht="15" customHeight="1" thickBot="1" x14ac:dyDescent="0.25">
      <c r="A76" s="1"/>
      <c r="B76" s="2"/>
      <c r="C76" s="2"/>
      <c r="D76" s="2"/>
      <c r="E76" s="2"/>
      <c r="F76" s="2"/>
      <c r="G76" s="2"/>
      <c r="H76" s="2"/>
      <c r="I76" s="2"/>
      <c r="J76" s="2"/>
      <c r="K76" s="26">
        <v>57</v>
      </c>
      <c r="L76" s="70" t="s">
        <v>137</v>
      </c>
      <c r="M76" s="27"/>
      <c r="N76" s="28"/>
      <c r="O76" s="43"/>
      <c r="P76" s="44"/>
      <c r="Q76" s="32"/>
      <c r="R76" s="45"/>
      <c r="S76" s="19"/>
      <c r="T76" s="17"/>
      <c r="U76" s="18"/>
      <c r="V76" s="20"/>
      <c r="W76" s="17"/>
      <c r="X76" s="18"/>
      <c r="Y76" s="20"/>
      <c r="Z76" s="17"/>
      <c r="AA76" s="18"/>
      <c r="AB76" s="20"/>
      <c r="AC76" s="17"/>
      <c r="AD76" s="18"/>
      <c r="AE76" s="20"/>
      <c r="AF76" s="20"/>
      <c r="AG76" s="20"/>
      <c r="AH76" s="2"/>
      <c r="AI76" s="2"/>
      <c r="AJ76" s="2"/>
      <c r="AK76" s="2"/>
      <c r="AL76" s="2"/>
      <c r="AM76" s="2"/>
    </row>
    <row r="77" spans="1:39" ht="15" customHeight="1" thickBot="1" x14ac:dyDescent="0.25">
      <c r="A77" s="1"/>
      <c r="B77" s="2"/>
      <c r="C77" s="2"/>
      <c r="D77" s="2"/>
      <c r="E77" s="2"/>
      <c r="F77" s="2"/>
      <c r="G77" s="2"/>
      <c r="H77" s="2"/>
      <c r="I77" s="2"/>
      <c r="J77" s="2"/>
      <c r="K77" s="26">
        <v>58</v>
      </c>
      <c r="L77" s="70" t="s">
        <v>138</v>
      </c>
      <c r="M77" s="27"/>
      <c r="N77" s="28"/>
      <c r="O77" s="43"/>
      <c r="P77" s="44"/>
      <c r="Q77" s="32"/>
      <c r="R77" s="45"/>
      <c r="S77" s="19"/>
      <c r="T77" s="17"/>
      <c r="U77" s="18"/>
      <c r="V77" s="20"/>
      <c r="W77" s="17"/>
      <c r="X77" s="18"/>
      <c r="Y77" s="20"/>
      <c r="Z77" s="17"/>
      <c r="AA77" s="18"/>
      <c r="AB77" s="20"/>
      <c r="AC77" s="17"/>
      <c r="AD77" s="18"/>
      <c r="AE77" s="20"/>
      <c r="AF77" s="20"/>
      <c r="AG77" s="20"/>
      <c r="AH77" s="2"/>
      <c r="AI77" s="2"/>
      <c r="AJ77" s="2"/>
      <c r="AK77" s="2"/>
      <c r="AL77" s="2"/>
      <c r="AM77" s="2"/>
    </row>
    <row r="78" spans="1:39" ht="15" customHeight="1" thickBot="1" x14ac:dyDescent="0.25">
      <c r="A78" s="1"/>
      <c r="B78" s="2"/>
      <c r="C78" s="2"/>
      <c r="D78" s="2"/>
      <c r="E78" s="2"/>
      <c r="F78" s="2"/>
      <c r="G78" s="2"/>
      <c r="H78" s="2"/>
      <c r="I78" s="2"/>
      <c r="J78" s="2"/>
      <c r="K78" s="26">
        <v>59</v>
      </c>
      <c r="L78" s="70" t="s">
        <v>139</v>
      </c>
      <c r="M78" s="27"/>
      <c r="N78" s="28"/>
      <c r="O78" s="43"/>
      <c r="P78" s="44"/>
      <c r="Q78" s="32"/>
      <c r="R78" s="45"/>
      <c r="S78" s="19"/>
      <c r="T78" s="17"/>
      <c r="U78" s="18"/>
      <c r="V78" s="20"/>
      <c r="W78" s="17"/>
      <c r="X78" s="18"/>
      <c r="Y78" s="20"/>
      <c r="Z78" s="17"/>
      <c r="AA78" s="18"/>
      <c r="AB78" s="20"/>
      <c r="AC78" s="17"/>
      <c r="AD78" s="18"/>
      <c r="AE78" s="20"/>
      <c r="AF78" s="20"/>
      <c r="AG78" s="20"/>
      <c r="AH78" s="2"/>
      <c r="AI78" s="2"/>
      <c r="AJ78" s="2"/>
      <c r="AK78" s="2"/>
      <c r="AL78" s="2"/>
      <c r="AM78" s="2"/>
    </row>
    <row r="79" spans="1:39" ht="15" customHeight="1" thickBot="1" x14ac:dyDescent="0.25">
      <c r="A79" s="1"/>
      <c r="B79" s="2"/>
      <c r="C79" s="2"/>
      <c r="D79" s="2"/>
      <c r="E79" s="2"/>
      <c r="F79" s="2"/>
      <c r="G79" s="2"/>
      <c r="H79" s="2"/>
      <c r="I79" s="2"/>
      <c r="J79" s="2"/>
      <c r="K79" s="26">
        <v>60</v>
      </c>
      <c r="L79" s="70" t="s">
        <v>140</v>
      </c>
      <c r="M79" s="27"/>
      <c r="N79" s="28"/>
      <c r="O79" s="43"/>
      <c r="P79" s="44"/>
      <c r="Q79" s="32"/>
      <c r="R79" s="45"/>
      <c r="S79" s="19"/>
      <c r="T79" s="17"/>
      <c r="U79" s="18"/>
      <c r="V79" s="20"/>
      <c r="W79" s="17"/>
      <c r="X79" s="18"/>
      <c r="Y79" s="20"/>
      <c r="Z79" s="17"/>
      <c r="AA79" s="18"/>
      <c r="AB79" s="20"/>
      <c r="AC79" s="17"/>
      <c r="AD79" s="18"/>
      <c r="AE79" s="20"/>
      <c r="AF79" s="20"/>
      <c r="AG79" s="20"/>
      <c r="AH79" s="2"/>
      <c r="AI79" s="2"/>
      <c r="AJ79" s="2"/>
      <c r="AK79" s="2"/>
      <c r="AL79" s="2"/>
      <c r="AM79" s="2"/>
    </row>
    <row r="80" spans="1:39" ht="15" customHeight="1" thickBot="1" x14ac:dyDescent="0.25">
      <c r="A80" s="1"/>
      <c r="B80" s="2"/>
      <c r="C80" s="2"/>
      <c r="D80" s="2"/>
      <c r="E80" s="2"/>
      <c r="F80" s="2"/>
      <c r="G80" s="2"/>
      <c r="H80" s="2"/>
      <c r="I80" s="2"/>
      <c r="J80" s="2"/>
      <c r="K80" s="26">
        <v>61</v>
      </c>
      <c r="L80" s="70" t="s">
        <v>141</v>
      </c>
      <c r="M80" s="27"/>
      <c r="N80" s="28"/>
      <c r="O80" s="43"/>
      <c r="P80" s="44"/>
      <c r="Q80" s="32"/>
      <c r="R80" s="45"/>
      <c r="S80" s="19"/>
      <c r="T80" s="17"/>
      <c r="U80" s="18"/>
      <c r="V80" s="20"/>
      <c r="W80" s="17"/>
      <c r="X80" s="18"/>
      <c r="Y80" s="20"/>
      <c r="Z80" s="17"/>
      <c r="AA80" s="18"/>
      <c r="AB80" s="20"/>
      <c r="AC80" s="17"/>
      <c r="AD80" s="18"/>
      <c r="AE80" s="20"/>
      <c r="AF80" s="20"/>
      <c r="AG80" s="20"/>
      <c r="AH80" s="2"/>
      <c r="AI80" s="2"/>
      <c r="AJ80" s="2"/>
      <c r="AK80" s="2"/>
      <c r="AL80" s="2"/>
      <c r="AM80" s="2"/>
    </row>
    <row r="81" spans="1:39" ht="15" customHeight="1" thickBot="1" x14ac:dyDescent="0.25">
      <c r="A81" s="1"/>
      <c r="B81" s="2"/>
      <c r="C81" s="2"/>
      <c r="D81" s="2"/>
      <c r="E81" s="2"/>
      <c r="F81" s="2"/>
      <c r="G81" s="2"/>
      <c r="H81" s="2"/>
      <c r="I81" s="2"/>
      <c r="J81" s="2"/>
      <c r="K81" s="26">
        <v>62</v>
      </c>
      <c r="L81" s="70" t="s">
        <v>142</v>
      </c>
      <c r="M81" s="27"/>
      <c r="N81" s="28"/>
      <c r="O81" s="43"/>
      <c r="P81" s="44"/>
      <c r="Q81" s="32"/>
      <c r="R81" s="45"/>
      <c r="S81" s="19"/>
      <c r="T81" s="17"/>
      <c r="U81" s="18"/>
      <c r="V81" s="20"/>
      <c r="W81" s="17"/>
      <c r="X81" s="18"/>
      <c r="Y81" s="20"/>
      <c r="Z81" s="17"/>
      <c r="AA81" s="18"/>
      <c r="AB81" s="20"/>
      <c r="AC81" s="17"/>
      <c r="AD81" s="18"/>
      <c r="AE81" s="20"/>
      <c r="AF81" s="20"/>
      <c r="AG81" s="20"/>
      <c r="AH81" s="2"/>
      <c r="AI81" s="2"/>
      <c r="AJ81" s="2"/>
      <c r="AK81" s="2"/>
      <c r="AL81" s="2"/>
      <c r="AM81" s="2"/>
    </row>
    <row r="82" spans="1:39" ht="15" customHeight="1" thickBot="1" x14ac:dyDescent="0.25">
      <c r="A82" s="1"/>
      <c r="B82" s="2"/>
      <c r="C82" s="2"/>
      <c r="D82" s="2"/>
      <c r="E82" s="2"/>
      <c r="F82" s="2"/>
      <c r="G82" s="2"/>
      <c r="H82" s="2"/>
      <c r="I82" s="2"/>
      <c r="J82" s="2"/>
      <c r="K82" s="26">
        <v>63</v>
      </c>
      <c r="L82" s="70" t="s">
        <v>143</v>
      </c>
      <c r="M82" s="27"/>
      <c r="N82" s="28"/>
      <c r="O82" s="43"/>
      <c r="P82" s="44"/>
      <c r="Q82" s="32"/>
      <c r="R82" s="45"/>
      <c r="S82" s="19"/>
      <c r="T82" s="17"/>
      <c r="U82" s="18"/>
      <c r="V82" s="20"/>
      <c r="W82" s="17"/>
      <c r="X82" s="18"/>
      <c r="Y82" s="20"/>
      <c r="Z82" s="17"/>
      <c r="AA82" s="18"/>
      <c r="AB82" s="20"/>
      <c r="AC82" s="17"/>
      <c r="AD82" s="18"/>
      <c r="AE82" s="20"/>
      <c r="AF82" s="20"/>
      <c r="AG82" s="20"/>
      <c r="AH82" s="2"/>
      <c r="AI82" s="2"/>
      <c r="AJ82" s="2"/>
      <c r="AK82" s="2"/>
      <c r="AL82" s="2"/>
      <c r="AM82" s="2"/>
    </row>
    <row r="83" spans="1:39" ht="15" customHeight="1" thickBot="1" x14ac:dyDescent="0.25">
      <c r="A83" s="1"/>
      <c r="B83" s="2"/>
      <c r="C83" s="2"/>
      <c r="D83" s="2"/>
      <c r="E83" s="2"/>
      <c r="F83" s="2"/>
      <c r="G83" s="2"/>
      <c r="H83" s="2"/>
      <c r="I83" s="2"/>
      <c r="J83" s="2"/>
      <c r="K83" s="26">
        <v>64</v>
      </c>
      <c r="L83" s="70" t="s">
        <v>144</v>
      </c>
      <c r="M83" s="27"/>
      <c r="N83" s="28"/>
      <c r="O83" s="43"/>
      <c r="P83" s="44"/>
      <c r="Q83" s="32"/>
      <c r="R83" s="45"/>
      <c r="S83" s="19"/>
      <c r="T83" s="17"/>
      <c r="U83" s="18"/>
      <c r="V83" s="20"/>
      <c r="W83" s="17"/>
      <c r="X83" s="18"/>
      <c r="Y83" s="20"/>
      <c r="Z83" s="17"/>
      <c r="AA83" s="18"/>
      <c r="AB83" s="20"/>
      <c r="AC83" s="17"/>
      <c r="AD83" s="18"/>
      <c r="AE83" s="20"/>
      <c r="AF83" s="20"/>
      <c r="AG83" s="20"/>
      <c r="AH83" s="2"/>
      <c r="AI83" s="2"/>
      <c r="AJ83" s="2"/>
      <c r="AK83" s="2"/>
      <c r="AL83" s="2"/>
      <c r="AM83" s="2"/>
    </row>
    <row r="84" spans="1:39" ht="15" customHeight="1" thickBot="1" x14ac:dyDescent="0.25">
      <c r="A84" s="1"/>
      <c r="B84" s="2"/>
      <c r="C84" s="2"/>
      <c r="D84" s="2"/>
      <c r="E84" s="2"/>
      <c r="F84" s="2"/>
      <c r="G84" s="2"/>
      <c r="H84" s="2"/>
      <c r="I84" s="2"/>
      <c r="J84" s="2"/>
      <c r="K84" s="26">
        <v>65</v>
      </c>
      <c r="L84" s="70" t="s">
        <v>145</v>
      </c>
      <c r="M84" s="27"/>
      <c r="N84" s="28"/>
      <c r="O84" s="43"/>
      <c r="P84" s="44"/>
      <c r="Q84" s="32"/>
      <c r="R84" s="45"/>
      <c r="S84" s="19"/>
      <c r="T84" s="17"/>
      <c r="U84" s="18"/>
      <c r="V84" s="20"/>
      <c r="W84" s="17"/>
      <c r="X84" s="18"/>
      <c r="Y84" s="20"/>
      <c r="Z84" s="17"/>
      <c r="AA84" s="18"/>
      <c r="AB84" s="20"/>
      <c r="AC84" s="17"/>
      <c r="AD84" s="18"/>
      <c r="AE84" s="20"/>
      <c r="AF84" s="20"/>
      <c r="AG84" s="20"/>
      <c r="AH84" s="2"/>
      <c r="AI84" s="2"/>
      <c r="AJ84" s="2"/>
      <c r="AK84" s="2"/>
      <c r="AL84" s="2"/>
      <c r="AM84" s="2"/>
    </row>
    <row r="85" spans="1:39" ht="15" customHeight="1" thickBot="1" x14ac:dyDescent="0.25">
      <c r="A85" s="1"/>
      <c r="B85" s="2"/>
      <c r="C85" s="2"/>
      <c r="D85" s="2"/>
      <c r="E85" s="2"/>
      <c r="F85" s="2"/>
      <c r="G85" s="2"/>
      <c r="H85" s="2"/>
      <c r="I85" s="2"/>
      <c r="J85" s="2"/>
      <c r="K85" s="26">
        <v>66</v>
      </c>
      <c r="L85" s="70" t="s">
        <v>146</v>
      </c>
      <c r="M85" s="27"/>
      <c r="N85" s="28"/>
      <c r="O85" s="43"/>
      <c r="P85" s="44"/>
      <c r="Q85" s="32"/>
      <c r="R85" s="45"/>
      <c r="S85" s="19"/>
      <c r="T85" s="17"/>
      <c r="U85" s="18"/>
      <c r="V85" s="20"/>
      <c r="W85" s="17"/>
      <c r="X85" s="18"/>
      <c r="Y85" s="20"/>
      <c r="Z85" s="17"/>
      <c r="AA85" s="18"/>
      <c r="AB85" s="20"/>
      <c r="AC85" s="17"/>
      <c r="AD85" s="18"/>
      <c r="AE85" s="20"/>
      <c r="AF85" s="20"/>
      <c r="AG85" s="20"/>
      <c r="AH85" s="2"/>
      <c r="AI85" s="2"/>
      <c r="AJ85" s="2"/>
      <c r="AK85" s="2"/>
      <c r="AL85" s="2"/>
      <c r="AM85" s="2"/>
    </row>
    <row r="86" spans="1:39" ht="15" customHeight="1" thickBot="1" x14ac:dyDescent="0.25">
      <c r="A86" s="1"/>
      <c r="B86" s="2"/>
      <c r="C86" s="2"/>
      <c r="D86" s="2"/>
      <c r="E86" s="2"/>
      <c r="F86" s="2"/>
      <c r="G86" s="2"/>
      <c r="H86" s="2"/>
      <c r="I86" s="2"/>
      <c r="J86" s="2"/>
      <c r="K86" s="26">
        <v>67</v>
      </c>
      <c r="L86" s="70" t="s">
        <v>147</v>
      </c>
      <c r="M86" s="27"/>
      <c r="N86" s="28"/>
      <c r="O86" s="43"/>
      <c r="P86" s="44"/>
      <c r="Q86" s="32"/>
      <c r="R86" s="45"/>
      <c r="S86" s="19"/>
      <c r="T86" s="17"/>
      <c r="U86" s="18"/>
      <c r="V86" s="20"/>
      <c r="W86" s="17"/>
      <c r="X86" s="18"/>
      <c r="Y86" s="20"/>
      <c r="Z86" s="17"/>
      <c r="AA86" s="18"/>
      <c r="AB86" s="20"/>
      <c r="AC86" s="17"/>
      <c r="AD86" s="18"/>
      <c r="AE86" s="20"/>
      <c r="AF86" s="20"/>
      <c r="AG86" s="20"/>
      <c r="AH86" s="2"/>
      <c r="AI86" s="2"/>
      <c r="AJ86" s="2"/>
      <c r="AK86" s="2"/>
      <c r="AL86" s="2"/>
      <c r="AM86" s="2"/>
    </row>
    <row r="87" spans="1:39" ht="15" customHeight="1" thickBot="1" x14ac:dyDescent="0.25">
      <c r="A87" s="1"/>
      <c r="B87" s="2"/>
      <c r="C87" s="2"/>
      <c r="D87" s="2"/>
      <c r="E87" s="2"/>
      <c r="F87" s="2"/>
      <c r="G87" s="2"/>
      <c r="H87" s="2"/>
      <c r="I87" s="2"/>
      <c r="J87" s="2"/>
      <c r="K87" s="26">
        <v>68</v>
      </c>
      <c r="L87" s="70" t="s">
        <v>148</v>
      </c>
      <c r="M87" s="27"/>
      <c r="N87" s="28"/>
      <c r="O87" s="43"/>
      <c r="P87" s="44"/>
      <c r="Q87" s="32"/>
      <c r="R87" s="45"/>
      <c r="S87" s="19"/>
      <c r="T87" s="17"/>
      <c r="U87" s="18"/>
      <c r="V87" s="20"/>
      <c r="W87" s="17"/>
      <c r="X87" s="18"/>
      <c r="Y87" s="20"/>
      <c r="Z87" s="17"/>
      <c r="AA87" s="18"/>
      <c r="AB87" s="20"/>
      <c r="AC87" s="17"/>
      <c r="AD87" s="18"/>
      <c r="AE87" s="20"/>
      <c r="AF87" s="20"/>
      <c r="AG87" s="20"/>
      <c r="AH87" s="2"/>
      <c r="AI87" s="2"/>
      <c r="AJ87" s="2"/>
      <c r="AK87" s="2"/>
      <c r="AL87" s="2"/>
      <c r="AM87" s="2"/>
    </row>
    <row r="88" spans="1:39" ht="15" customHeight="1" thickBot="1" x14ac:dyDescent="0.25">
      <c r="A88" s="1"/>
      <c r="B88" s="2"/>
      <c r="C88" s="2"/>
      <c r="D88" s="2"/>
      <c r="E88" s="2"/>
      <c r="F88" s="2"/>
      <c r="G88" s="2"/>
      <c r="H88" s="2"/>
      <c r="I88" s="2"/>
      <c r="J88" s="2"/>
      <c r="K88" s="26">
        <v>69</v>
      </c>
      <c r="L88" s="70" t="s">
        <v>149</v>
      </c>
      <c r="M88" s="27"/>
      <c r="N88" s="28"/>
      <c r="O88" s="43"/>
      <c r="P88" s="44"/>
      <c r="Q88" s="32"/>
      <c r="R88" s="45"/>
      <c r="S88" s="19"/>
      <c r="T88" s="17"/>
      <c r="U88" s="18"/>
      <c r="V88" s="20"/>
      <c r="W88" s="17"/>
      <c r="X88" s="18"/>
      <c r="Y88" s="20"/>
      <c r="Z88" s="17"/>
      <c r="AA88" s="18"/>
      <c r="AB88" s="20"/>
      <c r="AC88" s="17"/>
      <c r="AD88" s="18"/>
      <c r="AE88" s="20"/>
      <c r="AF88" s="20"/>
      <c r="AG88" s="20"/>
      <c r="AH88" s="2"/>
      <c r="AI88" s="2"/>
      <c r="AJ88" s="2"/>
      <c r="AK88" s="2"/>
      <c r="AL88" s="2"/>
      <c r="AM88" s="2"/>
    </row>
    <row r="89" spans="1:39" ht="15" customHeight="1" thickBot="1" x14ac:dyDescent="0.25">
      <c r="A89" s="1"/>
      <c r="B89" s="2"/>
      <c r="C89" s="2"/>
      <c r="D89" s="2"/>
      <c r="E89" s="2"/>
      <c r="F89" s="2"/>
      <c r="G89" s="2"/>
      <c r="H89" s="2"/>
      <c r="I89" s="2"/>
      <c r="J89" s="2"/>
      <c r="K89" s="26">
        <v>70</v>
      </c>
      <c r="L89" s="70" t="s">
        <v>150</v>
      </c>
      <c r="M89" s="27"/>
      <c r="N89" s="28"/>
      <c r="O89" s="43"/>
      <c r="P89" s="44"/>
      <c r="Q89" s="32"/>
      <c r="R89" s="45"/>
      <c r="S89" s="19"/>
      <c r="T89" s="17"/>
      <c r="U89" s="18"/>
      <c r="V89" s="20"/>
      <c r="W89" s="17"/>
      <c r="X89" s="18"/>
      <c r="Y89" s="20"/>
      <c r="Z89" s="17"/>
      <c r="AA89" s="18"/>
      <c r="AB89" s="20"/>
      <c r="AC89" s="17"/>
      <c r="AD89" s="18"/>
      <c r="AE89" s="20"/>
      <c r="AF89" s="20"/>
      <c r="AG89" s="20"/>
      <c r="AH89" s="2"/>
      <c r="AI89" s="2"/>
      <c r="AJ89" s="2"/>
      <c r="AK89" s="2"/>
      <c r="AL89" s="2"/>
      <c r="AM89" s="2"/>
    </row>
    <row r="90" spans="1:39" ht="15" customHeight="1" thickBot="1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6">
        <v>71</v>
      </c>
      <c r="L90" s="70" t="s">
        <v>151</v>
      </c>
      <c r="M90" s="27"/>
      <c r="N90" s="28"/>
      <c r="O90" s="43"/>
      <c r="P90" s="44"/>
      <c r="Q90" s="32"/>
      <c r="R90" s="45"/>
      <c r="S90" s="19"/>
      <c r="T90" s="17"/>
      <c r="U90" s="18"/>
      <c r="V90" s="20"/>
      <c r="W90" s="17"/>
      <c r="X90" s="18"/>
      <c r="Y90" s="20"/>
      <c r="Z90" s="17"/>
      <c r="AA90" s="18"/>
      <c r="AB90" s="20"/>
      <c r="AC90" s="17"/>
      <c r="AD90" s="18"/>
      <c r="AE90" s="20"/>
      <c r="AF90" s="20"/>
      <c r="AG90" s="20"/>
      <c r="AH90" s="2"/>
      <c r="AI90" s="2"/>
      <c r="AJ90" s="2"/>
      <c r="AK90" s="2"/>
      <c r="AL90" s="2"/>
      <c r="AM90" s="2"/>
    </row>
    <row r="91" spans="1:39" ht="15" customHeight="1" thickBot="1" x14ac:dyDescent="0.25">
      <c r="A91" s="1"/>
      <c r="B91" s="2"/>
      <c r="C91" s="2"/>
      <c r="D91" s="2"/>
      <c r="E91" s="2"/>
      <c r="F91" s="2"/>
      <c r="G91" s="2"/>
      <c r="H91" s="2"/>
      <c r="I91" s="2"/>
      <c r="J91" s="2"/>
      <c r="K91" s="26">
        <v>72</v>
      </c>
      <c r="L91" s="70" t="s">
        <v>152</v>
      </c>
      <c r="M91" s="27"/>
      <c r="N91" s="28"/>
      <c r="O91" s="43"/>
      <c r="P91" s="44"/>
      <c r="Q91" s="32"/>
      <c r="R91" s="45"/>
      <c r="S91" s="19"/>
      <c r="T91" s="17"/>
      <c r="U91" s="18"/>
      <c r="V91" s="20"/>
      <c r="W91" s="17"/>
      <c r="X91" s="18"/>
      <c r="Y91" s="20"/>
      <c r="Z91" s="17"/>
      <c r="AA91" s="18"/>
      <c r="AB91" s="20"/>
      <c r="AC91" s="17"/>
      <c r="AD91" s="18"/>
      <c r="AE91" s="20"/>
      <c r="AF91" s="20"/>
      <c r="AG91" s="20"/>
      <c r="AH91" s="2"/>
      <c r="AI91" s="2"/>
      <c r="AJ91" s="2"/>
      <c r="AK91" s="2"/>
      <c r="AL91" s="2"/>
      <c r="AM91" s="2"/>
    </row>
    <row r="92" spans="1:39" ht="15" customHeight="1" thickBot="1" x14ac:dyDescent="0.25">
      <c r="A92" s="1"/>
      <c r="B92" s="2"/>
      <c r="C92" s="2"/>
      <c r="D92" s="2"/>
      <c r="E92" s="2"/>
      <c r="F92" s="2"/>
      <c r="G92" s="2"/>
      <c r="H92" s="2"/>
      <c r="I92" s="2"/>
      <c r="J92" s="2"/>
      <c r="K92" s="26">
        <v>73</v>
      </c>
      <c r="L92" s="70" t="s">
        <v>153</v>
      </c>
      <c r="M92" s="27"/>
      <c r="N92" s="28"/>
      <c r="O92" s="43"/>
      <c r="P92" s="44"/>
      <c r="Q92" s="32"/>
      <c r="R92" s="45"/>
      <c r="S92" s="19"/>
      <c r="T92" s="17"/>
      <c r="U92" s="18"/>
      <c r="V92" s="20"/>
      <c r="W92" s="17"/>
      <c r="X92" s="18"/>
      <c r="Y92" s="20"/>
      <c r="Z92" s="17"/>
      <c r="AA92" s="18"/>
      <c r="AB92" s="20"/>
      <c r="AC92" s="17"/>
      <c r="AD92" s="18"/>
      <c r="AE92" s="20"/>
      <c r="AF92" s="20"/>
      <c r="AG92" s="20"/>
      <c r="AH92" s="2"/>
      <c r="AI92" s="2"/>
      <c r="AJ92" s="2"/>
      <c r="AK92" s="2"/>
      <c r="AL92" s="2"/>
      <c r="AM92" s="2"/>
    </row>
    <row r="93" spans="1:39" ht="15" customHeight="1" thickBot="1" x14ac:dyDescent="0.25">
      <c r="A93" s="1"/>
      <c r="B93" s="2"/>
      <c r="C93" s="2"/>
      <c r="D93" s="2"/>
      <c r="E93" s="2"/>
      <c r="F93" s="2"/>
      <c r="G93" s="2"/>
      <c r="H93" s="2"/>
      <c r="I93" s="2"/>
      <c r="J93" s="2"/>
      <c r="K93" s="26">
        <v>74</v>
      </c>
      <c r="L93" s="70" t="s">
        <v>154</v>
      </c>
      <c r="M93" s="27"/>
      <c r="N93" s="28"/>
      <c r="O93" s="43"/>
      <c r="P93" s="44"/>
      <c r="Q93" s="32"/>
      <c r="R93" s="45"/>
      <c r="S93" s="19"/>
      <c r="T93" s="17"/>
      <c r="U93" s="18"/>
      <c r="V93" s="20"/>
      <c r="W93" s="17"/>
      <c r="X93" s="18"/>
      <c r="Y93" s="20"/>
      <c r="Z93" s="17"/>
      <c r="AA93" s="18"/>
      <c r="AB93" s="20"/>
      <c r="AC93" s="17"/>
      <c r="AD93" s="18"/>
      <c r="AE93" s="20"/>
      <c r="AF93" s="20"/>
      <c r="AG93" s="20"/>
      <c r="AH93" s="2"/>
      <c r="AI93" s="2"/>
      <c r="AJ93" s="2"/>
      <c r="AK93" s="2"/>
      <c r="AL93" s="2"/>
      <c r="AM93" s="2"/>
    </row>
    <row r="94" spans="1:39" ht="15" customHeight="1" thickBot="1" x14ac:dyDescent="0.25">
      <c r="A94" s="1"/>
      <c r="B94" s="2"/>
      <c r="C94" s="2"/>
      <c r="D94" s="2"/>
      <c r="E94" s="2"/>
      <c r="F94" s="2"/>
      <c r="G94" s="2"/>
      <c r="H94" s="2"/>
      <c r="I94" s="2"/>
      <c r="J94" s="2"/>
      <c r="K94" s="26">
        <v>75</v>
      </c>
      <c r="L94" s="70" t="s">
        <v>155</v>
      </c>
      <c r="M94" s="27"/>
      <c r="N94" s="28"/>
      <c r="O94" s="43"/>
      <c r="P94" s="44"/>
      <c r="Q94" s="32"/>
      <c r="R94" s="45"/>
      <c r="S94" s="19"/>
      <c r="T94" s="17"/>
      <c r="U94" s="18"/>
      <c r="V94" s="20"/>
      <c r="W94" s="17"/>
      <c r="X94" s="18"/>
      <c r="Y94" s="20"/>
      <c r="Z94" s="17"/>
      <c r="AA94" s="18"/>
      <c r="AB94" s="20"/>
      <c r="AC94" s="17"/>
      <c r="AD94" s="18"/>
      <c r="AE94" s="20"/>
      <c r="AF94" s="20"/>
      <c r="AG94" s="20"/>
      <c r="AH94" s="2"/>
      <c r="AI94" s="2"/>
      <c r="AJ94" s="2"/>
      <c r="AK94" s="2"/>
      <c r="AL94" s="2"/>
      <c r="AM94" s="2"/>
    </row>
    <row r="95" spans="1:39" ht="15" customHeight="1" thickBot="1" x14ac:dyDescent="0.25">
      <c r="A95" s="1"/>
      <c r="B95" s="2"/>
      <c r="C95" s="2"/>
      <c r="D95" s="2"/>
      <c r="E95" s="2"/>
      <c r="F95" s="2"/>
      <c r="G95" s="2"/>
      <c r="H95" s="2"/>
      <c r="I95" s="2"/>
      <c r="J95" s="2"/>
      <c r="K95" s="26">
        <v>76</v>
      </c>
      <c r="L95" s="70" t="s">
        <v>156</v>
      </c>
      <c r="M95" s="27"/>
      <c r="N95" s="28"/>
      <c r="O95" s="43"/>
      <c r="P95" s="44"/>
      <c r="Q95" s="32"/>
      <c r="R95" s="45"/>
      <c r="S95" s="19"/>
      <c r="T95" s="17"/>
      <c r="U95" s="18"/>
      <c r="V95" s="20"/>
      <c r="W95" s="17"/>
      <c r="X95" s="18"/>
      <c r="Y95" s="20"/>
      <c r="Z95" s="17"/>
      <c r="AA95" s="18"/>
      <c r="AB95" s="20"/>
      <c r="AC95" s="17"/>
      <c r="AD95" s="18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15" customHeight="1" thickBot="1" x14ac:dyDescent="0.25">
      <c r="A96" s="1"/>
      <c r="B96" s="2"/>
      <c r="C96" s="2"/>
      <c r="D96" s="2"/>
      <c r="E96" s="2"/>
      <c r="F96" s="2"/>
      <c r="G96" s="2"/>
      <c r="H96" s="16"/>
      <c r="I96" s="1"/>
      <c r="J96" s="1"/>
      <c r="K96" s="26">
        <v>77</v>
      </c>
      <c r="L96" s="70" t="s">
        <v>157</v>
      </c>
      <c r="M96" s="27"/>
      <c r="N96" s="28"/>
      <c r="O96" s="43"/>
      <c r="P96" s="44"/>
      <c r="Q96" s="32"/>
      <c r="R96" s="45"/>
      <c r="S96" s="19"/>
      <c r="T96" s="17"/>
      <c r="U96" s="18"/>
      <c r="V96" s="20"/>
      <c r="W96" s="17"/>
      <c r="X96" s="18"/>
      <c r="Y96" s="20"/>
      <c r="Z96" s="17"/>
      <c r="AA96" s="18"/>
      <c r="AB96" s="20"/>
      <c r="AC96" s="17"/>
      <c r="AD96" s="18"/>
      <c r="AE96" s="1"/>
      <c r="AF96" s="1"/>
      <c r="AG96" s="1"/>
      <c r="AH96" s="2"/>
      <c r="AI96" s="2"/>
      <c r="AJ96" s="2"/>
      <c r="AK96" s="2"/>
      <c r="AL96" s="2"/>
      <c r="AM96" s="2"/>
    </row>
    <row r="97" spans="1:39" ht="15" customHeight="1" thickBot="1" x14ac:dyDescent="0.25">
      <c r="A97" s="1"/>
      <c r="B97" s="2"/>
      <c r="C97" s="2"/>
      <c r="D97" s="2"/>
      <c r="E97" s="2"/>
      <c r="F97" s="2"/>
      <c r="G97" s="2"/>
      <c r="H97" s="2"/>
      <c r="I97" s="2"/>
      <c r="J97" s="2"/>
      <c r="K97" s="26">
        <v>78</v>
      </c>
      <c r="L97" s="70" t="s">
        <v>158</v>
      </c>
      <c r="M97" s="27"/>
      <c r="N97" s="28"/>
      <c r="O97" s="43"/>
      <c r="P97" s="44"/>
      <c r="Q97" s="32"/>
      <c r="R97" s="45"/>
      <c r="S97" s="19"/>
      <c r="T97" s="17"/>
      <c r="U97" s="18"/>
      <c r="V97" s="20"/>
      <c r="W97" s="17"/>
      <c r="X97" s="18"/>
      <c r="Y97" s="20"/>
      <c r="Z97" s="17"/>
      <c r="AA97" s="18"/>
      <c r="AB97" s="20"/>
      <c r="AC97" s="17"/>
      <c r="AD97" s="18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15.75" thickBo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26">
        <v>79</v>
      </c>
      <c r="L98" s="70" t="s">
        <v>159</v>
      </c>
      <c r="M98" s="27"/>
      <c r="N98" s="28"/>
      <c r="O98" s="43"/>
      <c r="P98" s="44"/>
      <c r="Q98" s="32"/>
      <c r="R98" s="45"/>
      <c r="S98" s="19"/>
      <c r="T98" s="17"/>
      <c r="U98" s="18"/>
      <c r="V98" s="20"/>
      <c r="W98" s="17"/>
      <c r="X98" s="18"/>
      <c r="Y98" s="20"/>
      <c r="Z98" s="17"/>
      <c r="AA98" s="18"/>
      <c r="AB98" s="20"/>
      <c r="AC98" s="17"/>
      <c r="AD98" s="18"/>
      <c r="AE98" s="1"/>
      <c r="AF98" s="1"/>
      <c r="AG98" s="1"/>
      <c r="AH98" s="1"/>
      <c r="AI98" s="1"/>
      <c r="AJ98" s="1"/>
      <c r="AK98" s="1"/>
      <c r="AL98" s="1"/>
      <c r="AM98" s="1"/>
    </row>
    <row r="99" spans="1:39" ht="15.75" thickBo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26">
        <v>80</v>
      </c>
      <c r="L99" s="70" t="s">
        <v>160</v>
      </c>
      <c r="M99" s="27"/>
      <c r="N99" s="28"/>
      <c r="O99" s="43"/>
      <c r="P99" s="44"/>
      <c r="Q99" s="32"/>
      <c r="R99" s="45"/>
      <c r="S99" s="19"/>
      <c r="T99" s="17"/>
      <c r="U99" s="18"/>
      <c r="V99" s="20"/>
      <c r="W99" s="17"/>
      <c r="X99" s="18"/>
      <c r="Y99" s="20"/>
      <c r="Z99" s="17"/>
      <c r="AA99" s="18"/>
      <c r="AB99" s="20"/>
      <c r="AC99" s="17"/>
      <c r="AD99" s="18"/>
      <c r="AE99" s="1"/>
      <c r="AF99" s="1"/>
      <c r="AG99" s="1"/>
      <c r="AH99" s="1"/>
      <c r="AI99" s="1"/>
      <c r="AJ99" s="1"/>
      <c r="AK99" s="1"/>
      <c r="AL99" s="1"/>
      <c r="AM99" s="1"/>
    </row>
    <row r="100" spans="1:39" ht="15.75" thickBot="1" x14ac:dyDescent="0.25">
      <c r="K100" s="26">
        <v>81</v>
      </c>
      <c r="L100" s="70" t="s">
        <v>161</v>
      </c>
      <c r="M100" s="27"/>
      <c r="N100" s="28"/>
      <c r="O100" s="43"/>
      <c r="P100" s="44"/>
      <c r="Q100" s="32"/>
      <c r="R100" s="45"/>
      <c r="S100" s="19"/>
      <c r="T100" s="17"/>
      <c r="U100" s="18"/>
      <c r="V100" s="20"/>
      <c r="W100" s="17"/>
      <c r="X100" s="18"/>
      <c r="Y100" s="20"/>
      <c r="Z100" s="17"/>
      <c r="AA100" s="18"/>
      <c r="AB100" s="20"/>
      <c r="AC100" s="17"/>
      <c r="AD100" s="18"/>
    </row>
    <row r="101" spans="1:39" ht="15.75" thickBot="1" x14ac:dyDescent="0.25">
      <c r="K101" s="26">
        <v>82</v>
      </c>
      <c r="L101" s="70" t="s">
        <v>162</v>
      </c>
      <c r="M101" s="27"/>
      <c r="N101" s="28"/>
      <c r="O101" s="43"/>
      <c r="P101" s="44"/>
      <c r="Q101" s="32"/>
      <c r="R101" s="45"/>
      <c r="S101" s="19"/>
      <c r="T101" s="17"/>
      <c r="U101" s="18"/>
      <c r="V101" s="20"/>
      <c r="W101" s="17"/>
      <c r="X101" s="18"/>
      <c r="Y101" s="20"/>
      <c r="Z101" s="17"/>
      <c r="AA101" s="18"/>
      <c r="AB101" s="20"/>
      <c r="AC101" s="17"/>
      <c r="AD101" s="18"/>
    </row>
    <row r="102" spans="1:39" ht="15.75" thickBot="1" x14ac:dyDescent="0.25">
      <c r="K102" s="26">
        <v>83</v>
      </c>
      <c r="L102" s="70" t="s">
        <v>163</v>
      </c>
      <c r="M102" s="27"/>
      <c r="N102" s="28"/>
      <c r="O102" s="43"/>
      <c r="P102" s="44"/>
      <c r="Q102" s="32"/>
      <c r="R102" s="45"/>
      <c r="S102" s="19"/>
      <c r="T102" s="17"/>
      <c r="U102" s="18"/>
      <c r="V102" s="20"/>
      <c r="W102" s="17"/>
      <c r="X102" s="18"/>
      <c r="Y102" s="20"/>
      <c r="Z102" s="17"/>
      <c r="AA102" s="18"/>
      <c r="AB102" s="20"/>
      <c r="AC102" s="17"/>
      <c r="AD102" s="18"/>
    </row>
    <row r="103" spans="1:39" ht="15.75" thickBot="1" x14ac:dyDescent="0.25">
      <c r="K103" s="26">
        <v>84</v>
      </c>
      <c r="L103" s="70" t="s">
        <v>164</v>
      </c>
      <c r="M103" s="27"/>
      <c r="N103" s="28"/>
      <c r="O103" s="43"/>
      <c r="P103" s="44"/>
      <c r="Q103" s="32"/>
      <c r="R103" s="45"/>
      <c r="S103" s="19"/>
      <c r="T103" s="17"/>
      <c r="U103" s="18"/>
      <c r="V103" s="20"/>
      <c r="W103" s="17"/>
      <c r="X103" s="18"/>
      <c r="Y103" s="20"/>
      <c r="Z103" s="17"/>
      <c r="AA103" s="18"/>
      <c r="AB103" s="20"/>
      <c r="AC103" s="17"/>
      <c r="AD103" s="18"/>
    </row>
    <row r="104" spans="1:39" ht="15.75" thickBot="1" x14ac:dyDescent="0.25">
      <c r="K104" s="26">
        <v>85</v>
      </c>
      <c r="L104" s="70" t="s">
        <v>165</v>
      </c>
      <c r="M104" s="27"/>
      <c r="N104" s="28"/>
      <c r="O104" s="43"/>
      <c r="P104" s="44"/>
      <c r="Q104" s="32"/>
      <c r="R104" s="45"/>
      <c r="S104" s="19"/>
      <c r="T104" s="17"/>
      <c r="U104" s="18"/>
      <c r="V104" s="20"/>
      <c r="W104" s="17"/>
      <c r="X104" s="18"/>
      <c r="Y104" s="20"/>
      <c r="Z104" s="17"/>
      <c r="AA104" s="18"/>
      <c r="AB104" s="20"/>
      <c r="AC104" s="17"/>
      <c r="AD104" s="18"/>
    </row>
    <row r="105" spans="1:39" ht="15.75" thickBot="1" x14ac:dyDescent="0.25">
      <c r="K105" s="26">
        <v>86</v>
      </c>
      <c r="L105" s="70" t="s">
        <v>166</v>
      </c>
      <c r="M105" s="27"/>
      <c r="N105" s="28"/>
      <c r="O105" s="43"/>
      <c r="P105" s="44"/>
      <c r="Q105" s="32"/>
      <c r="R105" s="45"/>
      <c r="S105" s="19"/>
      <c r="T105" s="17"/>
      <c r="U105" s="18"/>
      <c r="V105" s="20"/>
      <c r="W105" s="17"/>
      <c r="X105" s="18"/>
      <c r="Y105" s="20"/>
      <c r="Z105" s="17"/>
      <c r="AA105" s="18"/>
      <c r="AB105" s="20"/>
      <c r="AC105" s="17"/>
      <c r="AD105" s="18"/>
    </row>
    <row r="106" spans="1:39" ht="15.75" thickBot="1" x14ac:dyDescent="0.25">
      <c r="K106" s="26">
        <v>87</v>
      </c>
      <c r="L106" s="70" t="s">
        <v>167</v>
      </c>
      <c r="M106" s="27"/>
      <c r="N106" s="28"/>
      <c r="O106" s="43"/>
      <c r="P106" s="44"/>
      <c r="Q106" s="32"/>
      <c r="R106" s="45"/>
      <c r="S106" s="19"/>
      <c r="T106" s="17"/>
      <c r="U106" s="18"/>
      <c r="V106" s="20"/>
      <c r="W106" s="17"/>
      <c r="X106" s="18"/>
      <c r="Y106" s="20"/>
      <c r="Z106" s="17"/>
      <c r="AA106" s="18"/>
      <c r="AB106" s="20"/>
      <c r="AC106" s="17"/>
      <c r="AD106" s="18"/>
    </row>
    <row r="107" spans="1:39" ht="15.75" thickBot="1" x14ac:dyDescent="0.25">
      <c r="K107" s="26">
        <v>88</v>
      </c>
      <c r="L107" s="70" t="s">
        <v>168</v>
      </c>
      <c r="M107" s="27"/>
      <c r="N107" s="28"/>
      <c r="O107" s="43"/>
      <c r="P107" s="44"/>
      <c r="Q107" s="32"/>
      <c r="R107" s="45"/>
      <c r="S107" s="19"/>
      <c r="T107" s="17"/>
      <c r="U107" s="18"/>
      <c r="V107" s="20"/>
      <c r="W107" s="17"/>
      <c r="X107" s="18"/>
      <c r="Y107" s="20"/>
      <c r="Z107" s="17"/>
      <c r="AA107" s="18"/>
      <c r="AB107" s="20"/>
      <c r="AC107" s="17"/>
      <c r="AD107" s="18"/>
    </row>
    <row r="108" spans="1:39" ht="15.75" thickBot="1" x14ac:dyDescent="0.25">
      <c r="K108" s="26">
        <v>89</v>
      </c>
      <c r="L108" s="70" t="s">
        <v>169</v>
      </c>
      <c r="M108" s="27"/>
      <c r="N108" s="28"/>
      <c r="O108" s="43"/>
      <c r="P108" s="44"/>
      <c r="Q108" s="32"/>
      <c r="R108" s="45"/>
      <c r="S108" s="19"/>
      <c r="T108" s="17"/>
      <c r="U108" s="18"/>
      <c r="V108" s="20"/>
      <c r="W108" s="17"/>
      <c r="X108" s="18"/>
      <c r="Y108" s="20"/>
      <c r="Z108" s="17"/>
      <c r="AA108" s="18"/>
      <c r="AB108" s="20"/>
      <c r="AC108" s="17"/>
      <c r="AD108" s="18"/>
    </row>
    <row r="109" spans="1:39" ht="15.75" thickBot="1" x14ac:dyDescent="0.25">
      <c r="K109" s="26">
        <v>90</v>
      </c>
      <c r="L109" s="70" t="s">
        <v>170</v>
      </c>
      <c r="M109" s="27"/>
      <c r="N109" s="28"/>
      <c r="O109" s="43"/>
      <c r="P109" s="44"/>
      <c r="Q109" s="32"/>
      <c r="R109" s="45"/>
      <c r="S109" s="19"/>
      <c r="T109" s="17"/>
      <c r="U109" s="18"/>
      <c r="V109" s="20"/>
      <c r="W109" s="17"/>
      <c r="X109" s="18"/>
      <c r="Y109" s="20"/>
      <c r="Z109" s="17"/>
      <c r="AA109" s="18"/>
      <c r="AB109" s="20"/>
      <c r="AC109" s="17"/>
      <c r="AD109" s="18"/>
    </row>
    <row r="110" spans="1:39" ht="15.75" thickBot="1" x14ac:dyDescent="0.25">
      <c r="K110" s="26">
        <v>91</v>
      </c>
      <c r="L110" s="70" t="s">
        <v>171</v>
      </c>
      <c r="M110" s="27"/>
      <c r="N110" s="28"/>
      <c r="O110" s="43"/>
      <c r="P110" s="44"/>
      <c r="Q110" s="32"/>
      <c r="R110" s="45"/>
      <c r="S110" s="19"/>
      <c r="T110" s="17"/>
      <c r="U110" s="18"/>
      <c r="V110" s="20"/>
      <c r="W110" s="17"/>
      <c r="X110" s="18"/>
      <c r="Y110" s="20"/>
      <c r="Z110" s="17"/>
      <c r="AA110" s="18"/>
      <c r="AB110" s="20"/>
      <c r="AC110" s="17"/>
      <c r="AD110" s="18"/>
    </row>
    <row r="111" spans="1:39" ht="15.75" thickBot="1" x14ac:dyDescent="0.25">
      <c r="K111" s="26">
        <v>92</v>
      </c>
      <c r="L111" s="70" t="s">
        <v>172</v>
      </c>
      <c r="M111" s="27"/>
      <c r="N111" s="28"/>
      <c r="O111" s="43"/>
      <c r="P111" s="44"/>
      <c r="Q111" s="32"/>
      <c r="R111" s="45"/>
      <c r="S111" s="19"/>
      <c r="T111" s="17"/>
      <c r="U111" s="18"/>
      <c r="V111" s="20"/>
      <c r="W111" s="17"/>
      <c r="X111" s="18"/>
      <c r="Y111" s="20"/>
      <c r="Z111" s="17"/>
      <c r="AA111" s="18"/>
      <c r="AB111" s="20"/>
      <c r="AC111" s="17"/>
      <c r="AD111" s="18"/>
    </row>
    <row r="112" spans="1:39" ht="15.75" thickBot="1" x14ac:dyDescent="0.25">
      <c r="K112" s="26">
        <v>93</v>
      </c>
      <c r="L112" s="70" t="s">
        <v>173</v>
      </c>
      <c r="M112" s="27"/>
      <c r="N112" s="28"/>
      <c r="O112" s="43"/>
      <c r="P112" s="44"/>
      <c r="Q112" s="32"/>
      <c r="R112" s="45"/>
      <c r="S112" s="19"/>
      <c r="T112" s="17"/>
      <c r="U112" s="18"/>
      <c r="V112" s="20"/>
      <c r="W112" s="17"/>
      <c r="X112" s="18"/>
      <c r="Y112" s="20"/>
      <c r="Z112" s="17"/>
      <c r="AA112" s="18"/>
      <c r="AB112" s="20"/>
      <c r="AC112" s="17"/>
      <c r="AD112" s="18"/>
    </row>
    <row r="113" spans="11:30" ht="15.75" thickBot="1" x14ac:dyDescent="0.25">
      <c r="K113" s="26">
        <v>94</v>
      </c>
      <c r="L113" s="70" t="s">
        <v>174</v>
      </c>
      <c r="M113" s="27"/>
      <c r="N113" s="28"/>
      <c r="O113" s="43"/>
      <c r="P113" s="44"/>
      <c r="Q113" s="32"/>
      <c r="R113" s="45"/>
      <c r="S113" s="19"/>
      <c r="T113" s="17"/>
      <c r="U113" s="18"/>
      <c r="V113" s="20"/>
      <c r="W113" s="17"/>
      <c r="X113" s="18"/>
      <c r="Y113" s="20"/>
      <c r="Z113" s="17"/>
      <c r="AA113" s="18"/>
      <c r="AB113" s="20"/>
      <c r="AC113" s="17"/>
      <c r="AD113" s="18"/>
    </row>
    <row r="114" spans="11:30" ht="15.75" thickBot="1" x14ac:dyDescent="0.25">
      <c r="K114" s="26">
        <v>95</v>
      </c>
      <c r="L114" s="70" t="s">
        <v>175</v>
      </c>
      <c r="M114" s="27"/>
      <c r="N114" s="28"/>
      <c r="O114" s="43"/>
      <c r="P114" s="44"/>
      <c r="Q114" s="32"/>
      <c r="R114" s="45"/>
      <c r="S114" s="19"/>
      <c r="T114" s="17"/>
      <c r="U114" s="18"/>
      <c r="V114" s="20"/>
      <c r="W114" s="17"/>
      <c r="X114" s="18"/>
      <c r="Y114" s="20"/>
      <c r="Z114" s="17"/>
      <c r="AA114" s="18"/>
      <c r="AB114" s="20"/>
      <c r="AC114" s="17"/>
      <c r="AD114" s="18"/>
    </row>
    <row r="115" spans="11:30" ht="15.75" thickBot="1" x14ac:dyDescent="0.25">
      <c r="K115" s="26">
        <v>96</v>
      </c>
      <c r="L115" s="70" t="s">
        <v>176</v>
      </c>
      <c r="M115" s="27"/>
      <c r="N115" s="28"/>
      <c r="O115" s="43"/>
      <c r="P115" s="44"/>
      <c r="Q115" s="32"/>
      <c r="R115" s="45"/>
      <c r="S115" s="19"/>
      <c r="T115" s="17"/>
      <c r="U115" s="18"/>
      <c r="V115" s="20"/>
      <c r="W115" s="17"/>
      <c r="X115" s="18"/>
      <c r="Y115" s="20"/>
      <c r="Z115" s="17"/>
      <c r="AA115" s="18"/>
      <c r="AB115" s="20"/>
      <c r="AC115" s="17"/>
      <c r="AD115" s="18"/>
    </row>
    <row r="116" spans="11:30" ht="15.75" thickBot="1" x14ac:dyDescent="0.25">
      <c r="K116" s="26">
        <v>97</v>
      </c>
      <c r="L116" s="70" t="s">
        <v>177</v>
      </c>
      <c r="M116" s="27"/>
      <c r="N116" s="28"/>
      <c r="O116" s="43"/>
      <c r="P116" s="44"/>
      <c r="Q116" s="32"/>
      <c r="R116" s="45"/>
      <c r="S116" s="19"/>
      <c r="T116" s="17"/>
      <c r="U116" s="18"/>
      <c r="V116" s="20"/>
      <c r="W116" s="17"/>
      <c r="X116" s="18"/>
      <c r="Y116" s="20"/>
      <c r="Z116" s="17"/>
      <c r="AA116" s="18"/>
      <c r="AB116" s="20"/>
      <c r="AC116" s="17"/>
      <c r="AD116" s="18"/>
    </row>
    <row r="117" spans="11:30" ht="15.75" thickBot="1" x14ac:dyDescent="0.25">
      <c r="K117" s="26">
        <v>98</v>
      </c>
      <c r="L117" s="70" t="s">
        <v>178</v>
      </c>
      <c r="M117" s="27"/>
      <c r="N117" s="28"/>
      <c r="O117" s="43"/>
      <c r="P117" s="44"/>
      <c r="Q117" s="32"/>
      <c r="R117" s="45"/>
      <c r="S117" s="19"/>
      <c r="T117" s="17"/>
      <c r="U117" s="18"/>
      <c r="V117" s="20"/>
      <c r="W117" s="17"/>
      <c r="X117" s="18"/>
      <c r="Y117" s="20"/>
      <c r="Z117" s="17"/>
      <c r="AA117" s="18"/>
      <c r="AB117" s="20"/>
      <c r="AC117" s="17"/>
      <c r="AD117" s="18"/>
    </row>
    <row r="118" spans="11:30" ht="15.75" thickBot="1" x14ac:dyDescent="0.25">
      <c r="K118" s="26">
        <v>99</v>
      </c>
      <c r="L118" s="70" t="s">
        <v>179</v>
      </c>
      <c r="M118" s="27"/>
      <c r="N118" s="28"/>
      <c r="O118" s="43"/>
      <c r="P118" s="44"/>
      <c r="Q118" s="32"/>
      <c r="R118" s="45"/>
      <c r="S118" s="19"/>
      <c r="T118" s="17"/>
      <c r="U118" s="18"/>
      <c r="V118" s="20"/>
      <c r="W118" s="17"/>
      <c r="X118" s="18"/>
      <c r="Y118" s="20"/>
      <c r="Z118" s="17"/>
      <c r="AA118" s="18"/>
      <c r="AB118" s="20"/>
      <c r="AC118" s="17"/>
      <c r="AD118" s="18"/>
    </row>
    <row r="119" spans="11:30" ht="15.75" thickBot="1" x14ac:dyDescent="0.25">
      <c r="K119" s="26">
        <v>100</v>
      </c>
      <c r="L119" s="70" t="s">
        <v>180</v>
      </c>
      <c r="M119" s="27"/>
      <c r="N119" s="28"/>
      <c r="O119" s="43"/>
      <c r="P119" s="44"/>
      <c r="Q119" s="32"/>
      <c r="R119" s="45"/>
      <c r="S119" s="19"/>
      <c r="T119" s="17"/>
      <c r="U119" s="18"/>
      <c r="V119" s="20"/>
      <c r="W119" s="17"/>
      <c r="X119" s="18"/>
      <c r="Y119" s="20"/>
      <c r="Z119" s="17"/>
      <c r="AA119" s="18"/>
      <c r="AB119" s="20"/>
      <c r="AC119" s="17"/>
      <c r="AD119" s="18"/>
    </row>
    <row r="120" spans="11:30" ht="15.75" thickBot="1" x14ac:dyDescent="0.25">
      <c r="K120" s="26">
        <v>101</v>
      </c>
      <c r="L120" s="70" t="s">
        <v>181</v>
      </c>
      <c r="M120" s="27"/>
      <c r="N120" s="28"/>
      <c r="O120" s="43"/>
      <c r="P120" s="44"/>
      <c r="Q120" s="32"/>
      <c r="R120" s="45"/>
      <c r="S120" s="19"/>
      <c r="T120" s="17"/>
      <c r="U120" s="18"/>
      <c r="V120" s="20"/>
      <c r="W120" s="17"/>
      <c r="X120" s="18"/>
      <c r="Y120" s="20"/>
      <c r="Z120" s="17"/>
      <c r="AA120" s="18"/>
      <c r="AB120" s="20"/>
      <c r="AC120" s="17"/>
      <c r="AD120" s="18"/>
    </row>
    <row r="121" spans="11:30" ht="15.75" thickBot="1" x14ac:dyDescent="0.25">
      <c r="K121" s="26">
        <v>102</v>
      </c>
      <c r="L121" s="70" t="s">
        <v>182</v>
      </c>
      <c r="M121" s="27"/>
      <c r="N121" s="28"/>
      <c r="O121" s="43"/>
      <c r="P121" s="44"/>
      <c r="Q121" s="32"/>
      <c r="R121" s="45"/>
      <c r="S121" s="19"/>
      <c r="T121" s="17"/>
      <c r="U121" s="18"/>
      <c r="V121" s="20"/>
      <c r="W121" s="17"/>
      <c r="X121" s="18"/>
      <c r="Y121" s="20"/>
      <c r="Z121" s="17"/>
      <c r="AA121" s="18"/>
      <c r="AB121" s="20"/>
      <c r="AC121" s="17"/>
      <c r="AD121" s="18"/>
    </row>
    <row r="122" spans="11:30" ht="15.75" thickBot="1" x14ac:dyDescent="0.25">
      <c r="K122" s="26">
        <v>103</v>
      </c>
      <c r="L122" s="70" t="s">
        <v>183</v>
      </c>
      <c r="M122" s="27"/>
      <c r="N122" s="28"/>
      <c r="O122" s="43"/>
      <c r="P122" s="44"/>
      <c r="Q122" s="32"/>
      <c r="R122" s="45"/>
      <c r="S122" s="19"/>
      <c r="T122" s="17"/>
      <c r="U122" s="18"/>
      <c r="V122" s="20"/>
      <c r="W122" s="17"/>
      <c r="X122" s="18"/>
      <c r="Y122" s="20"/>
      <c r="Z122" s="17"/>
      <c r="AA122" s="18"/>
      <c r="AB122" s="20"/>
      <c r="AC122" s="17"/>
      <c r="AD122" s="18"/>
    </row>
    <row r="123" spans="11:30" ht="15.75" thickBot="1" x14ac:dyDescent="0.25">
      <c r="K123" s="26">
        <v>104</v>
      </c>
      <c r="L123" s="70" t="s">
        <v>184</v>
      </c>
      <c r="M123" s="27"/>
      <c r="N123" s="28"/>
      <c r="O123" s="43"/>
      <c r="P123" s="44"/>
      <c r="Q123" s="32"/>
      <c r="R123" s="45"/>
      <c r="S123" s="19"/>
      <c r="T123" s="17"/>
      <c r="U123" s="18"/>
      <c r="V123" s="20"/>
      <c r="W123" s="17"/>
      <c r="X123" s="18"/>
      <c r="Y123" s="20"/>
      <c r="Z123" s="17"/>
      <c r="AA123" s="18"/>
      <c r="AB123" s="20"/>
      <c r="AC123" s="17"/>
      <c r="AD123" s="18"/>
    </row>
    <row r="124" spans="11:30" ht="15.75" thickBot="1" x14ac:dyDescent="0.25">
      <c r="K124" s="26">
        <v>105</v>
      </c>
      <c r="L124" s="70" t="s">
        <v>185</v>
      </c>
      <c r="M124" s="27"/>
      <c r="N124" s="28"/>
      <c r="O124" s="43"/>
      <c r="P124" s="44"/>
      <c r="Q124" s="32"/>
      <c r="R124" s="45"/>
      <c r="S124" s="19"/>
      <c r="T124" s="17"/>
      <c r="U124" s="18"/>
      <c r="V124" s="20"/>
      <c r="W124" s="17"/>
      <c r="X124" s="18"/>
      <c r="Y124" s="20"/>
      <c r="Z124" s="17"/>
      <c r="AA124" s="18"/>
      <c r="AB124" s="20"/>
      <c r="AC124" s="17"/>
      <c r="AD124" s="18"/>
    </row>
    <row r="125" spans="11:30" ht="15.75" thickBot="1" x14ac:dyDescent="0.25">
      <c r="K125" s="26">
        <v>106</v>
      </c>
      <c r="L125" s="70" t="s">
        <v>186</v>
      </c>
      <c r="M125" s="27"/>
      <c r="N125" s="28"/>
      <c r="O125" s="43"/>
      <c r="P125" s="44"/>
      <c r="Q125" s="32"/>
      <c r="R125" s="45"/>
      <c r="S125" s="19"/>
      <c r="T125" s="17"/>
      <c r="U125" s="18"/>
      <c r="V125" s="20"/>
      <c r="W125" s="17"/>
      <c r="X125" s="18"/>
      <c r="Y125" s="20"/>
      <c r="Z125" s="17"/>
      <c r="AA125" s="18"/>
      <c r="AB125" s="20"/>
      <c r="AC125" s="17"/>
      <c r="AD125" s="18"/>
    </row>
    <row r="126" spans="11:30" ht="15.75" thickBot="1" x14ac:dyDescent="0.25">
      <c r="K126" s="26">
        <v>107</v>
      </c>
      <c r="L126" s="70" t="s">
        <v>187</v>
      </c>
      <c r="M126" s="27"/>
      <c r="N126" s="28"/>
      <c r="O126" s="43"/>
      <c r="P126" s="44"/>
      <c r="Q126" s="32"/>
      <c r="R126" s="45"/>
      <c r="S126" s="19"/>
      <c r="T126" s="17"/>
      <c r="U126" s="18"/>
      <c r="V126" s="20"/>
      <c r="W126" s="17"/>
      <c r="X126" s="18"/>
      <c r="Y126" s="20"/>
      <c r="Z126" s="17"/>
      <c r="AA126" s="18"/>
      <c r="AB126" s="20"/>
      <c r="AC126" s="17"/>
      <c r="AD126" s="18"/>
    </row>
    <row r="127" spans="11:30" ht="15.75" thickBot="1" x14ac:dyDescent="0.25">
      <c r="K127" s="26">
        <v>108</v>
      </c>
      <c r="L127" s="70" t="s">
        <v>188</v>
      </c>
      <c r="M127" s="27"/>
      <c r="N127" s="28"/>
      <c r="O127" s="43"/>
      <c r="P127" s="44"/>
      <c r="Q127" s="32"/>
      <c r="R127" s="45"/>
      <c r="S127" s="19"/>
      <c r="T127" s="17"/>
      <c r="U127" s="18"/>
      <c r="V127" s="20"/>
      <c r="W127" s="17"/>
      <c r="X127" s="18"/>
      <c r="Y127" s="20"/>
      <c r="Z127" s="17"/>
      <c r="AA127" s="18"/>
      <c r="AB127" s="20"/>
      <c r="AC127" s="17"/>
      <c r="AD127" s="18"/>
    </row>
    <row r="128" spans="11:30" ht="15.75" thickBot="1" x14ac:dyDescent="0.25">
      <c r="K128" s="26">
        <v>109</v>
      </c>
      <c r="L128" s="70" t="s">
        <v>189</v>
      </c>
      <c r="M128" s="27"/>
      <c r="N128" s="28"/>
      <c r="O128" s="43"/>
      <c r="P128" s="44"/>
      <c r="Q128" s="32"/>
      <c r="R128" s="45"/>
      <c r="S128" s="19"/>
      <c r="T128" s="17"/>
      <c r="U128" s="18"/>
      <c r="V128" s="20"/>
      <c r="W128" s="17"/>
      <c r="X128" s="18"/>
      <c r="Y128" s="20"/>
      <c r="Z128" s="17"/>
      <c r="AA128" s="18"/>
      <c r="AB128" s="20"/>
      <c r="AC128" s="17"/>
      <c r="AD128" s="18"/>
    </row>
    <row r="129" spans="11:30" ht="15.75" thickBot="1" x14ac:dyDescent="0.25">
      <c r="K129" s="26">
        <v>110</v>
      </c>
      <c r="L129" s="70" t="s">
        <v>190</v>
      </c>
      <c r="M129" s="27"/>
      <c r="N129" s="28"/>
      <c r="O129" s="43"/>
      <c r="P129" s="44"/>
      <c r="Q129" s="32"/>
      <c r="R129" s="45"/>
      <c r="S129" s="19"/>
      <c r="T129" s="17"/>
      <c r="U129" s="18"/>
      <c r="V129" s="20"/>
      <c r="W129" s="17"/>
      <c r="X129" s="18"/>
      <c r="Y129" s="20"/>
      <c r="Z129" s="17"/>
      <c r="AA129" s="18"/>
      <c r="AB129" s="20"/>
      <c r="AC129" s="17"/>
      <c r="AD129" s="18"/>
    </row>
    <row r="130" spans="11:30" ht="15.75" thickBot="1" x14ac:dyDescent="0.25">
      <c r="K130" s="26">
        <v>111</v>
      </c>
      <c r="L130" s="70" t="s">
        <v>191</v>
      </c>
      <c r="M130" s="27"/>
      <c r="N130" s="28"/>
      <c r="O130" s="43"/>
      <c r="P130" s="44"/>
      <c r="Q130" s="32"/>
      <c r="R130" s="45"/>
      <c r="S130" s="19"/>
      <c r="T130" s="17"/>
      <c r="U130" s="18"/>
      <c r="V130" s="20"/>
      <c r="W130" s="17"/>
      <c r="X130" s="18"/>
      <c r="Y130" s="20"/>
      <c r="Z130" s="17"/>
      <c r="AA130" s="18"/>
      <c r="AB130" s="20"/>
      <c r="AC130" s="17"/>
      <c r="AD130" s="18"/>
    </row>
    <row r="131" spans="11:30" ht="15.75" thickBot="1" x14ac:dyDescent="0.25">
      <c r="K131" s="26">
        <v>112</v>
      </c>
      <c r="L131" s="70" t="s">
        <v>192</v>
      </c>
      <c r="M131" s="27"/>
      <c r="N131" s="28"/>
      <c r="O131" s="43"/>
      <c r="P131" s="44"/>
      <c r="Q131" s="32"/>
      <c r="R131" s="45"/>
      <c r="S131" s="19"/>
      <c r="T131" s="17"/>
      <c r="U131" s="18"/>
      <c r="V131" s="20"/>
      <c r="W131" s="17"/>
      <c r="X131" s="18"/>
      <c r="Y131" s="20"/>
      <c r="Z131" s="17"/>
      <c r="AA131" s="18"/>
      <c r="AB131" s="20"/>
      <c r="AC131" s="17"/>
      <c r="AD131" s="18"/>
    </row>
    <row r="132" spans="11:30" ht="15.75" thickBot="1" x14ac:dyDescent="0.25">
      <c r="K132" s="26">
        <v>113</v>
      </c>
      <c r="L132" s="70" t="s">
        <v>193</v>
      </c>
      <c r="M132" s="27"/>
      <c r="N132" s="28"/>
      <c r="O132" s="43"/>
      <c r="P132" s="44"/>
      <c r="Q132" s="32"/>
      <c r="R132" s="45"/>
      <c r="S132" s="19"/>
      <c r="T132" s="17"/>
      <c r="U132" s="18"/>
      <c r="V132" s="20"/>
      <c r="W132" s="17"/>
      <c r="X132" s="18"/>
      <c r="Y132" s="20"/>
      <c r="Z132" s="17"/>
      <c r="AA132" s="18"/>
      <c r="AB132" s="20"/>
      <c r="AC132" s="17"/>
      <c r="AD132" s="18"/>
    </row>
    <row r="133" spans="11:30" ht="15.75" thickBot="1" x14ac:dyDescent="0.25">
      <c r="K133" s="26">
        <v>114</v>
      </c>
      <c r="L133" s="70" t="s">
        <v>194</v>
      </c>
      <c r="M133" s="27"/>
      <c r="N133" s="28"/>
      <c r="O133" s="43"/>
      <c r="P133" s="44"/>
      <c r="Q133" s="32"/>
      <c r="R133" s="45"/>
      <c r="S133" s="19"/>
      <c r="T133" s="17"/>
      <c r="U133" s="18"/>
      <c r="V133" s="20"/>
      <c r="W133" s="17"/>
      <c r="X133" s="18"/>
      <c r="Y133" s="20"/>
      <c r="Z133" s="17"/>
      <c r="AA133" s="18"/>
      <c r="AB133" s="20"/>
      <c r="AC133" s="17"/>
      <c r="AD133" s="18"/>
    </row>
    <row r="134" spans="11:30" ht="15.75" thickBot="1" x14ac:dyDescent="0.25">
      <c r="K134" s="26">
        <v>115</v>
      </c>
      <c r="L134" s="70" t="s">
        <v>195</v>
      </c>
      <c r="M134" s="27"/>
      <c r="N134" s="28"/>
      <c r="O134" s="43"/>
      <c r="P134" s="44"/>
      <c r="Q134" s="32"/>
      <c r="R134" s="45"/>
      <c r="S134" s="19"/>
      <c r="T134" s="17"/>
      <c r="U134" s="18"/>
      <c r="V134" s="20"/>
      <c r="W134" s="17"/>
      <c r="X134" s="18"/>
      <c r="Y134" s="20"/>
      <c r="Z134" s="17"/>
      <c r="AA134" s="18"/>
      <c r="AB134" s="20"/>
      <c r="AC134" s="17"/>
      <c r="AD134" s="18"/>
    </row>
    <row r="135" spans="11:30" ht="15.75" thickBot="1" x14ac:dyDescent="0.25">
      <c r="K135" s="26">
        <v>116</v>
      </c>
      <c r="L135" s="70" t="s">
        <v>196</v>
      </c>
      <c r="M135" s="27"/>
      <c r="N135" s="28"/>
      <c r="O135" s="43"/>
      <c r="P135" s="44"/>
      <c r="Q135" s="32"/>
      <c r="R135" s="45"/>
      <c r="S135" s="19"/>
      <c r="T135" s="17"/>
      <c r="U135" s="18"/>
      <c r="V135" s="20"/>
      <c r="W135" s="17"/>
      <c r="X135" s="18"/>
      <c r="Y135" s="20"/>
      <c r="Z135" s="17"/>
      <c r="AA135" s="18"/>
      <c r="AB135" s="20"/>
      <c r="AC135" s="17"/>
      <c r="AD135" s="18"/>
    </row>
    <row r="136" spans="11:30" ht="15.75" thickBot="1" x14ac:dyDescent="0.25">
      <c r="K136" s="26">
        <v>117</v>
      </c>
      <c r="L136" s="70" t="s">
        <v>197</v>
      </c>
      <c r="M136" s="27"/>
      <c r="N136" s="28"/>
      <c r="O136" s="43"/>
      <c r="P136" s="44"/>
      <c r="Q136" s="32"/>
      <c r="R136" s="45"/>
      <c r="S136" s="19"/>
      <c r="T136" s="17"/>
      <c r="U136" s="18"/>
      <c r="V136" s="20"/>
      <c r="W136" s="17"/>
      <c r="X136" s="18"/>
      <c r="Y136" s="20"/>
      <c r="Z136" s="17"/>
      <c r="AA136" s="18"/>
      <c r="AB136" s="20"/>
      <c r="AC136" s="17"/>
      <c r="AD136" s="18"/>
    </row>
    <row r="137" spans="11:30" ht="15.75" thickBot="1" x14ac:dyDescent="0.25">
      <c r="K137" s="26">
        <v>118</v>
      </c>
      <c r="L137" s="70" t="s">
        <v>198</v>
      </c>
      <c r="M137" s="27"/>
      <c r="N137" s="28"/>
      <c r="O137" s="43"/>
      <c r="P137" s="44"/>
      <c r="Q137" s="32"/>
      <c r="R137" s="45"/>
      <c r="S137" s="19"/>
      <c r="T137" s="17"/>
      <c r="U137" s="18"/>
      <c r="V137" s="20"/>
      <c r="W137" s="17"/>
      <c r="X137" s="18"/>
      <c r="Y137" s="20"/>
      <c r="Z137" s="17"/>
      <c r="AA137" s="18"/>
      <c r="AB137" s="20"/>
      <c r="AC137" s="17"/>
      <c r="AD137" s="18"/>
    </row>
    <row r="138" spans="11:30" ht="15.75" thickBot="1" x14ac:dyDescent="0.25">
      <c r="K138" s="26">
        <v>119</v>
      </c>
      <c r="L138" s="70" t="s">
        <v>199</v>
      </c>
      <c r="M138" s="27"/>
      <c r="N138" s="28"/>
      <c r="O138" s="43"/>
      <c r="P138" s="44"/>
      <c r="Q138" s="32"/>
      <c r="R138" s="45"/>
      <c r="S138" s="19"/>
      <c r="T138" s="17"/>
      <c r="U138" s="18"/>
      <c r="V138" s="20"/>
      <c r="W138" s="17"/>
      <c r="X138" s="18"/>
      <c r="Y138" s="20"/>
      <c r="Z138" s="17"/>
      <c r="AA138" s="18"/>
      <c r="AB138" s="20"/>
      <c r="AC138" s="17"/>
      <c r="AD138" s="18"/>
    </row>
    <row r="139" spans="11:30" ht="15.75" thickBot="1" x14ac:dyDescent="0.25">
      <c r="K139" s="26">
        <v>120</v>
      </c>
      <c r="L139" s="70" t="s">
        <v>200</v>
      </c>
      <c r="M139" s="27"/>
      <c r="N139" s="28"/>
      <c r="O139" s="43"/>
      <c r="P139" s="44"/>
      <c r="Q139" s="32"/>
      <c r="R139" s="45"/>
      <c r="S139" s="19"/>
      <c r="T139" s="17"/>
      <c r="U139" s="18"/>
      <c r="V139" s="20"/>
      <c r="W139" s="17"/>
      <c r="X139" s="18"/>
      <c r="Y139" s="20"/>
      <c r="Z139" s="17"/>
      <c r="AA139" s="18"/>
      <c r="AB139" s="20"/>
      <c r="AC139" s="17"/>
      <c r="AD139" s="18"/>
    </row>
    <row r="140" spans="11:30" ht="15.75" thickBot="1" x14ac:dyDescent="0.25">
      <c r="K140" s="26">
        <v>121</v>
      </c>
      <c r="L140" s="70" t="s">
        <v>201</v>
      </c>
      <c r="M140" s="27"/>
      <c r="N140" s="28"/>
      <c r="O140" s="43"/>
      <c r="P140" s="44"/>
      <c r="Q140" s="32"/>
      <c r="R140" s="45"/>
      <c r="S140" s="19"/>
      <c r="T140" s="17"/>
      <c r="U140" s="18"/>
      <c r="V140" s="20"/>
      <c r="W140" s="17"/>
      <c r="X140" s="18"/>
      <c r="Y140" s="20"/>
      <c r="Z140" s="17"/>
      <c r="AA140" s="18"/>
      <c r="AB140" s="20"/>
      <c r="AC140" s="17"/>
      <c r="AD140" s="18"/>
    </row>
    <row r="141" spans="11:30" ht="15.75" thickBot="1" x14ac:dyDescent="0.25">
      <c r="K141" s="26">
        <v>122</v>
      </c>
      <c r="L141" s="70" t="s">
        <v>202</v>
      </c>
      <c r="M141" s="27"/>
      <c r="N141" s="28"/>
      <c r="O141" s="43"/>
      <c r="P141" s="44"/>
      <c r="Q141" s="32"/>
      <c r="R141" s="45"/>
      <c r="S141" s="19"/>
      <c r="T141" s="17"/>
      <c r="U141" s="18"/>
      <c r="V141" s="20"/>
      <c r="W141" s="17"/>
      <c r="X141" s="18"/>
      <c r="Y141" s="20"/>
      <c r="Z141" s="17"/>
      <c r="AA141" s="18"/>
      <c r="AB141" s="20"/>
      <c r="AC141" s="17"/>
      <c r="AD141" s="18"/>
    </row>
    <row r="142" spans="11:30" ht="15.75" thickBot="1" x14ac:dyDescent="0.25">
      <c r="K142" s="26">
        <v>123</v>
      </c>
      <c r="L142" s="70" t="s">
        <v>203</v>
      </c>
      <c r="M142" s="27"/>
      <c r="N142" s="28"/>
      <c r="O142" s="43"/>
      <c r="P142" s="44"/>
      <c r="Q142" s="32"/>
      <c r="R142" s="45"/>
      <c r="S142" s="19"/>
      <c r="T142" s="17"/>
      <c r="U142" s="18"/>
      <c r="V142" s="20"/>
      <c r="W142" s="17"/>
      <c r="X142" s="18"/>
      <c r="Y142" s="20"/>
      <c r="Z142" s="17"/>
      <c r="AA142" s="18"/>
      <c r="AB142" s="20"/>
      <c r="AC142" s="17"/>
      <c r="AD142" s="18"/>
    </row>
    <row r="143" spans="11:30" ht="15.75" thickBot="1" x14ac:dyDescent="0.25">
      <c r="K143" s="26">
        <v>124</v>
      </c>
      <c r="L143" s="70" t="s">
        <v>204</v>
      </c>
      <c r="M143" s="27"/>
      <c r="N143" s="28"/>
      <c r="O143" s="43"/>
      <c r="P143" s="44"/>
      <c r="Q143" s="32"/>
      <c r="R143" s="45"/>
      <c r="S143" s="19"/>
      <c r="T143" s="17"/>
      <c r="U143" s="18"/>
      <c r="V143" s="20"/>
      <c r="W143" s="17"/>
      <c r="X143" s="18"/>
      <c r="Y143" s="20"/>
      <c r="Z143" s="17"/>
      <c r="AA143" s="18"/>
      <c r="AB143" s="20"/>
      <c r="AC143" s="17"/>
      <c r="AD143" s="18"/>
    </row>
    <row r="144" spans="11:30" ht="15.75" thickBot="1" x14ac:dyDescent="0.25">
      <c r="K144" s="26">
        <v>125</v>
      </c>
      <c r="L144" s="70" t="s">
        <v>205</v>
      </c>
      <c r="M144" s="27"/>
      <c r="N144" s="28"/>
      <c r="O144" s="43"/>
      <c r="P144" s="44"/>
      <c r="Q144" s="32"/>
      <c r="R144" s="45"/>
      <c r="S144" s="19"/>
      <c r="T144" s="17"/>
      <c r="U144" s="18"/>
      <c r="V144" s="20"/>
      <c r="W144" s="17"/>
      <c r="X144" s="18"/>
      <c r="Y144" s="20"/>
      <c r="Z144" s="17"/>
      <c r="AA144" s="18"/>
      <c r="AB144" s="20"/>
      <c r="AC144" s="17"/>
      <c r="AD144" s="18"/>
    </row>
    <row r="145" spans="11:30" ht="15.75" thickBot="1" x14ac:dyDescent="0.25">
      <c r="K145" s="26">
        <v>126</v>
      </c>
      <c r="L145" s="70" t="s">
        <v>206</v>
      </c>
      <c r="M145" s="27"/>
      <c r="N145" s="28"/>
      <c r="O145" s="43"/>
      <c r="P145" s="44"/>
      <c r="Q145" s="32"/>
      <c r="R145" s="45"/>
      <c r="S145" s="19"/>
      <c r="T145" s="17"/>
      <c r="U145" s="18"/>
      <c r="V145" s="20"/>
      <c r="W145" s="17"/>
      <c r="X145" s="18"/>
      <c r="Y145" s="20"/>
      <c r="Z145" s="17"/>
      <c r="AA145" s="18"/>
      <c r="AB145" s="20"/>
      <c r="AC145" s="17"/>
      <c r="AD145" s="18"/>
    </row>
    <row r="146" spans="11:30" ht="15.75" thickBot="1" x14ac:dyDescent="0.25">
      <c r="K146" s="26">
        <v>127</v>
      </c>
      <c r="L146" s="70" t="s">
        <v>207</v>
      </c>
      <c r="M146" s="27"/>
      <c r="N146" s="28"/>
      <c r="O146" s="43"/>
      <c r="P146" s="44"/>
      <c r="Q146" s="32"/>
      <c r="R146" s="45"/>
      <c r="S146" s="19"/>
      <c r="T146" s="17"/>
      <c r="U146" s="18"/>
      <c r="V146" s="20"/>
      <c r="W146" s="17"/>
      <c r="X146" s="18"/>
      <c r="Y146" s="20"/>
      <c r="Z146" s="17"/>
      <c r="AA146" s="18"/>
      <c r="AB146" s="20"/>
      <c r="AC146" s="17"/>
      <c r="AD146" s="18"/>
    </row>
    <row r="147" spans="11:30" ht="15.75" thickBot="1" x14ac:dyDescent="0.25">
      <c r="K147" s="26">
        <v>128</v>
      </c>
      <c r="L147" s="70" t="s">
        <v>208</v>
      </c>
      <c r="M147" s="27"/>
      <c r="N147" s="28"/>
      <c r="O147" s="43"/>
      <c r="P147" s="44"/>
      <c r="Q147" s="32"/>
      <c r="R147" s="45"/>
      <c r="S147" s="19"/>
      <c r="T147" s="17"/>
      <c r="U147" s="18"/>
      <c r="V147" s="20"/>
      <c r="W147" s="17"/>
      <c r="X147" s="18"/>
      <c r="Y147" s="20"/>
      <c r="Z147" s="17"/>
      <c r="AA147" s="18"/>
      <c r="AB147" s="20"/>
      <c r="AC147" s="17"/>
      <c r="AD147" s="18"/>
    </row>
    <row r="148" spans="11:30" ht="15.75" thickBot="1" x14ac:dyDescent="0.25">
      <c r="K148" s="26">
        <v>129</v>
      </c>
      <c r="L148" s="70" t="s">
        <v>209</v>
      </c>
      <c r="M148" s="27"/>
      <c r="N148" s="28"/>
      <c r="O148" s="43"/>
      <c r="P148" s="44"/>
      <c r="Q148" s="32"/>
      <c r="R148" s="45"/>
      <c r="S148" s="19"/>
      <c r="T148" s="17"/>
      <c r="U148" s="18"/>
      <c r="V148" s="20"/>
      <c r="W148" s="17"/>
      <c r="X148" s="18"/>
      <c r="Y148" s="20"/>
      <c r="Z148" s="17"/>
      <c r="AA148" s="18"/>
      <c r="AB148" s="20"/>
      <c r="AC148" s="17"/>
      <c r="AD148" s="18"/>
    </row>
    <row r="149" spans="11:30" ht="15.75" thickBot="1" x14ac:dyDescent="0.25">
      <c r="K149" s="26">
        <v>130</v>
      </c>
      <c r="L149" s="70" t="s">
        <v>210</v>
      </c>
      <c r="M149" s="27"/>
      <c r="N149" s="28"/>
      <c r="O149" s="43"/>
      <c r="P149" s="44"/>
      <c r="Q149" s="32"/>
      <c r="R149" s="45"/>
      <c r="S149" s="19"/>
      <c r="T149" s="17"/>
      <c r="U149" s="18"/>
      <c r="V149" s="20"/>
      <c r="W149" s="17"/>
      <c r="X149" s="18"/>
      <c r="Y149" s="20"/>
      <c r="Z149" s="17"/>
      <c r="AA149" s="18"/>
      <c r="AB149" s="20"/>
      <c r="AC149" s="17"/>
      <c r="AD149" s="18"/>
    </row>
    <row r="150" spans="11:30" ht="15.75" thickBot="1" x14ac:dyDescent="0.25">
      <c r="K150" s="26">
        <v>131</v>
      </c>
      <c r="L150" s="70" t="s">
        <v>211</v>
      </c>
      <c r="M150" s="27"/>
      <c r="N150" s="28"/>
      <c r="O150" s="43"/>
      <c r="P150" s="44"/>
      <c r="Q150" s="32"/>
      <c r="R150" s="45"/>
      <c r="S150" s="19"/>
      <c r="T150" s="17"/>
      <c r="U150" s="18"/>
      <c r="V150" s="20"/>
      <c r="W150" s="17"/>
      <c r="X150" s="18"/>
      <c r="Y150" s="20"/>
      <c r="Z150" s="17"/>
      <c r="AA150" s="18"/>
      <c r="AB150" s="20"/>
      <c r="AC150" s="17"/>
      <c r="AD150" s="18"/>
    </row>
    <row r="151" spans="11:30" ht="15.75" thickBot="1" x14ac:dyDescent="0.25">
      <c r="K151" s="26">
        <v>132</v>
      </c>
      <c r="L151" s="70" t="s">
        <v>212</v>
      </c>
      <c r="M151" s="27"/>
      <c r="N151" s="28"/>
      <c r="O151" s="43"/>
      <c r="P151" s="44"/>
      <c r="Q151" s="32"/>
      <c r="R151" s="45"/>
      <c r="S151" s="19"/>
      <c r="T151" s="17"/>
      <c r="U151" s="18"/>
      <c r="V151" s="20"/>
      <c r="W151" s="17"/>
      <c r="X151" s="18"/>
      <c r="Y151" s="20"/>
      <c r="Z151" s="17"/>
      <c r="AA151" s="18"/>
      <c r="AB151" s="20"/>
      <c r="AC151" s="17"/>
      <c r="AD151" s="18"/>
    </row>
    <row r="152" spans="11:30" ht="15.75" thickBot="1" x14ac:dyDescent="0.25">
      <c r="K152" s="26">
        <v>133</v>
      </c>
      <c r="L152" s="70" t="s">
        <v>213</v>
      </c>
      <c r="M152" s="27"/>
      <c r="N152" s="28"/>
      <c r="O152" s="43"/>
      <c r="P152" s="44"/>
      <c r="Q152" s="32"/>
      <c r="R152" s="45"/>
      <c r="S152" s="19"/>
      <c r="T152" s="17"/>
      <c r="U152" s="18"/>
      <c r="V152" s="20"/>
      <c r="W152" s="17"/>
      <c r="X152" s="18"/>
      <c r="Y152" s="20"/>
      <c r="Z152" s="17"/>
      <c r="AA152" s="18"/>
      <c r="AB152" s="20"/>
      <c r="AC152" s="17"/>
      <c r="AD152" s="18"/>
    </row>
    <row r="153" spans="11:30" ht="15.75" thickBot="1" x14ac:dyDescent="0.25">
      <c r="K153" s="26">
        <v>134</v>
      </c>
      <c r="L153" s="70" t="s">
        <v>214</v>
      </c>
      <c r="M153" s="27"/>
      <c r="N153" s="28"/>
      <c r="O153" s="43"/>
      <c r="P153" s="44"/>
      <c r="Q153" s="32"/>
      <c r="R153" s="45"/>
      <c r="S153" s="19"/>
      <c r="T153" s="17"/>
      <c r="U153" s="18"/>
      <c r="V153" s="20"/>
      <c r="W153" s="17"/>
      <c r="X153" s="18"/>
      <c r="Y153" s="20"/>
      <c r="Z153" s="17"/>
      <c r="AA153" s="18"/>
      <c r="AB153" s="20"/>
      <c r="AC153" s="17"/>
      <c r="AD153" s="18"/>
    </row>
    <row r="154" spans="11:30" ht="15.75" thickBot="1" x14ac:dyDescent="0.25">
      <c r="K154" s="26">
        <v>135</v>
      </c>
      <c r="L154" s="70" t="s">
        <v>215</v>
      </c>
      <c r="M154" s="27"/>
      <c r="N154" s="28"/>
      <c r="O154" s="43"/>
      <c r="P154" s="44"/>
      <c r="Q154" s="32"/>
      <c r="R154" s="45"/>
      <c r="S154" s="19"/>
      <c r="T154" s="17"/>
      <c r="U154" s="18"/>
      <c r="V154" s="20"/>
      <c r="W154" s="17"/>
      <c r="X154" s="18"/>
      <c r="Y154" s="20"/>
      <c r="Z154" s="17"/>
      <c r="AA154" s="18"/>
      <c r="AB154" s="20"/>
      <c r="AC154" s="17"/>
      <c r="AD154" s="18"/>
    </row>
    <row r="155" spans="11:30" ht="15.75" thickBot="1" x14ac:dyDescent="0.25">
      <c r="K155" s="26">
        <v>136</v>
      </c>
      <c r="L155" s="70" t="s">
        <v>216</v>
      </c>
      <c r="M155" s="27"/>
      <c r="N155" s="28"/>
      <c r="O155" s="43"/>
      <c r="P155" s="44"/>
      <c r="Q155" s="32"/>
      <c r="R155" s="45"/>
      <c r="S155" s="19"/>
      <c r="T155" s="17"/>
      <c r="U155" s="18"/>
      <c r="V155" s="20"/>
      <c r="W155" s="17"/>
      <c r="X155" s="18"/>
      <c r="Y155" s="20"/>
      <c r="Z155" s="17"/>
      <c r="AA155" s="18"/>
      <c r="AB155" s="20"/>
      <c r="AC155" s="17"/>
      <c r="AD155" s="18"/>
    </row>
    <row r="156" spans="11:30" ht="15.75" thickBot="1" x14ac:dyDescent="0.25">
      <c r="K156" s="26">
        <v>137</v>
      </c>
      <c r="L156" s="70" t="s">
        <v>217</v>
      </c>
      <c r="M156" s="27"/>
      <c r="N156" s="28"/>
      <c r="O156" s="43"/>
      <c r="P156" s="44"/>
      <c r="Q156" s="32"/>
      <c r="R156" s="45"/>
      <c r="S156" s="19"/>
      <c r="T156" s="17"/>
      <c r="U156" s="18"/>
      <c r="V156" s="20"/>
      <c r="W156" s="17"/>
      <c r="X156" s="18"/>
      <c r="Y156" s="20"/>
      <c r="Z156" s="17"/>
      <c r="AA156" s="18"/>
      <c r="AB156" s="20"/>
      <c r="AC156" s="17"/>
      <c r="AD156" s="18"/>
    </row>
    <row r="157" spans="11:30" ht="15.75" thickBot="1" x14ac:dyDescent="0.25">
      <c r="K157" s="26">
        <v>138</v>
      </c>
      <c r="L157" s="70" t="s">
        <v>218</v>
      </c>
      <c r="M157" s="27"/>
      <c r="N157" s="28"/>
      <c r="O157" s="43"/>
      <c r="P157" s="44"/>
      <c r="Q157" s="32"/>
      <c r="R157" s="45"/>
      <c r="S157" s="19"/>
      <c r="T157" s="17"/>
      <c r="U157" s="18"/>
      <c r="V157" s="20"/>
      <c r="W157" s="17"/>
      <c r="X157" s="18"/>
      <c r="Y157" s="20"/>
      <c r="Z157" s="17"/>
      <c r="AA157" s="18"/>
      <c r="AB157" s="20"/>
      <c r="AC157" s="17"/>
      <c r="AD157" s="18"/>
    </row>
    <row r="158" spans="11:30" ht="15.75" thickBot="1" x14ac:dyDescent="0.25">
      <c r="K158" s="26">
        <v>139</v>
      </c>
      <c r="L158" s="70" t="s">
        <v>219</v>
      </c>
      <c r="M158" s="27"/>
      <c r="N158" s="28"/>
      <c r="O158" s="43"/>
      <c r="P158" s="44"/>
      <c r="Q158" s="32"/>
      <c r="R158" s="45"/>
      <c r="S158" s="19"/>
      <c r="T158" s="17"/>
      <c r="U158" s="18"/>
      <c r="V158" s="20"/>
      <c r="W158" s="17"/>
      <c r="X158" s="18"/>
      <c r="Y158" s="20"/>
      <c r="Z158" s="17"/>
      <c r="AA158" s="18"/>
      <c r="AB158" s="20"/>
      <c r="AC158" s="17"/>
      <c r="AD158" s="18"/>
    </row>
    <row r="159" spans="11:30" ht="15.75" thickBot="1" x14ac:dyDescent="0.25">
      <c r="K159" s="26">
        <v>140</v>
      </c>
      <c r="L159" s="70" t="s">
        <v>220</v>
      </c>
      <c r="M159" s="27"/>
      <c r="N159" s="28"/>
      <c r="O159" s="43"/>
      <c r="P159" s="44"/>
      <c r="Q159" s="32"/>
      <c r="R159" s="45"/>
      <c r="S159" s="19"/>
      <c r="T159" s="17"/>
      <c r="U159" s="18"/>
      <c r="V159" s="20"/>
      <c r="W159" s="17"/>
      <c r="X159" s="18"/>
      <c r="Y159" s="20"/>
      <c r="Z159" s="17"/>
      <c r="AA159" s="18"/>
      <c r="AB159" s="20"/>
      <c r="AC159" s="17"/>
      <c r="AD159" s="18"/>
    </row>
    <row r="160" spans="11:30" ht="15.75" thickBot="1" x14ac:dyDescent="0.25">
      <c r="K160" s="26">
        <v>141</v>
      </c>
      <c r="L160" s="70" t="s">
        <v>221</v>
      </c>
      <c r="M160" s="27"/>
      <c r="N160" s="28"/>
      <c r="O160" s="43"/>
      <c r="P160" s="44"/>
      <c r="Q160" s="32"/>
      <c r="R160" s="45"/>
      <c r="S160" s="19"/>
      <c r="T160" s="17"/>
      <c r="U160" s="18"/>
      <c r="V160" s="20"/>
      <c r="W160" s="17"/>
      <c r="X160" s="18"/>
      <c r="Y160" s="20"/>
      <c r="Z160" s="17"/>
      <c r="AA160" s="18"/>
      <c r="AB160" s="20"/>
      <c r="AC160" s="17"/>
      <c r="AD160" s="18"/>
    </row>
    <row r="161" spans="11:30" ht="15.75" thickBot="1" x14ac:dyDescent="0.25">
      <c r="K161" s="26">
        <v>142</v>
      </c>
      <c r="L161" s="70" t="s">
        <v>222</v>
      </c>
      <c r="M161" s="27"/>
      <c r="N161" s="28"/>
      <c r="O161" s="43"/>
      <c r="P161" s="44"/>
      <c r="Q161" s="32"/>
      <c r="R161" s="45"/>
      <c r="S161" s="19"/>
      <c r="T161" s="17"/>
      <c r="U161" s="18"/>
      <c r="V161" s="20"/>
      <c r="W161" s="17"/>
      <c r="X161" s="18"/>
      <c r="Y161" s="20"/>
      <c r="Z161" s="17"/>
      <c r="AA161" s="18"/>
      <c r="AB161" s="20"/>
      <c r="AC161" s="17"/>
      <c r="AD161" s="18"/>
    </row>
    <row r="162" spans="11:30" ht="15.75" thickBot="1" x14ac:dyDescent="0.25">
      <c r="K162" s="26">
        <v>143</v>
      </c>
      <c r="L162" s="70" t="s">
        <v>223</v>
      </c>
      <c r="M162" s="27"/>
      <c r="N162" s="28"/>
      <c r="O162" s="43"/>
      <c r="P162" s="44"/>
      <c r="Q162" s="32"/>
      <c r="R162" s="45"/>
      <c r="S162" s="19"/>
      <c r="T162" s="17"/>
      <c r="U162" s="18"/>
      <c r="V162" s="20"/>
      <c r="W162" s="17"/>
      <c r="X162" s="18"/>
      <c r="Y162" s="20"/>
      <c r="Z162" s="17"/>
      <c r="AA162" s="18"/>
      <c r="AB162" s="20"/>
      <c r="AC162" s="17"/>
      <c r="AD162" s="18"/>
    </row>
    <row r="163" spans="11:30" ht="15.75" thickBot="1" x14ac:dyDescent="0.25">
      <c r="K163" s="26">
        <v>144</v>
      </c>
      <c r="L163" s="70" t="s">
        <v>224</v>
      </c>
      <c r="M163" s="27"/>
      <c r="N163" s="28"/>
      <c r="O163" s="43"/>
      <c r="P163" s="44"/>
      <c r="Q163" s="32"/>
      <c r="R163" s="45"/>
      <c r="S163" s="19"/>
      <c r="T163" s="17"/>
      <c r="U163" s="18"/>
      <c r="V163" s="20"/>
      <c r="W163" s="17"/>
      <c r="X163" s="18"/>
      <c r="Y163" s="20"/>
      <c r="Z163" s="17"/>
      <c r="AA163" s="18"/>
      <c r="AB163" s="20"/>
      <c r="AC163" s="17"/>
      <c r="AD163" s="18"/>
    </row>
    <row r="164" spans="11:30" ht="15.75" thickBot="1" x14ac:dyDescent="0.25">
      <c r="K164" s="26">
        <v>145</v>
      </c>
      <c r="L164" s="70" t="s">
        <v>225</v>
      </c>
      <c r="M164" s="27"/>
      <c r="N164" s="28"/>
      <c r="O164" s="43"/>
      <c r="P164" s="44"/>
      <c r="Q164" s="32"/>
      <c r="R164" s="45"/>
      <c r="S164" s="19"/>
      <c r="T164" s="17"/>
      <c r="U164" s="18"/>
      <c r="V164" s="20"/>
      <c r="W164" s="17"/>
      <c r="X164" s="18"/>
      <c r="Y164" s="20"/>
      <c r="Z164" s="17"/>
      <c r="AA164" s="18"/>
      <c r="AB164" s="20"/>
      <c r="AC164" s="17"/>
      <c r="AD164" s="18"/>
    </row>
    <row r="165" spans="11:30" ht="15.75" thickBot="1" x14ac:dyDescent="0.25">
      <c r="K165" s="26">
        <v>146</v>
      </c>
      <c r="L165" s="70" t="s">
        <v>226</v>
      </c>
      <c r="M165" s="27"/>
      <c r="N165" s="28"/>
      <c r="O165" s="43"/>
      <c r="P165" s="44"/>
      <c r="Q165" s="32"/>
      <c r="R165" s="45"/>
      <c r="S165" s="19"/>
      <c r="T165" s="17"/>
      <c r="U165" s="18"/>
      <c r="V165" s="20"/>
      <c r="W165" s="17"/>
      <c r="X165" s="18"/>
      <c r="Y165" s="20"/>
      <c r="Z165" s="17"/>
      <c r="AA165" s="18"/>
      <c r="AB165" s="20"/>
      <c r="AC165" s="17"/>
      <c r="AD165" s="18"/>
    </row>
    <row r="166" spans="11:30" ht="15.75" thickBot="1" x14ac:dyDescent="0.25">
      <c r="K166" s="26">
        <v>147</v>
      </c>
      <c r="L166" s="70" t="s">
        <v>227</v>
      </c>
      <c r="M166" s="27"/>
      <c r="N166" s="28"/>
      <c r="O166" s="43"/>
      <c r="P166" s="44"/>
      <c r="Q166" s="32"/>
      <c r="R166" s="45"/>
      <c r="S166" s="19"/>
      <c r="T166" s="17"/>
      <c r="U166" s="18"/>
      <c r="V166" s="20"/>
      <c r="W166" s="17"/>
      <c r="X166" s="18"/>
      <c r="Y166" s="20"/>
      <c r="Z166" s="17"/>
      <c r="AA166" s="18"/>
      <c r="AB166" s="20"/>
      <c r="AC166" s="17"/>
      <c r="AD166" s="18"/>
    </row>
    <row r="167" spans="11:30" ht="15.75" thickBot="1" x14ac:dyDescent="0.25">
      <c r="K167" s="26">
        <v>148</v>
      </c>
      <c r="L167" s="70" t="s">
        <v>228</v>
      </c>
      <c r="M167" s="27"/>
      <c r="N167" s="28"/>
      <c r="O167" s="43"/>
      <c r="P167" s="44"/>
      <c r="Q167" s="32"/>
      <c r="R167" s="45"/>
      <c r="S167" s="19"/>
      <c r="T167" s="17"/>
      <c r="U167" s="18"/>
      <c r="V167" s="20"/>
      <c r="W167" s="17"/>
      <c r="X167" s="18"/>
      <c r="Y167" s="20"/>
      <c r="Z167" s="17"/>
      <c r="AA167" s="18"/>
      <c r="AB167" s="20"/>
      <c r="AC167" s="17"/>
      <c r="AD167" s="18"/>
    </row>
    <row r="168" spans="11:30" ht="15.75" thickBot="1" x14ac:dyDescent="0.25">
      <c r="K168" s="26">
        <v>149</v>
      </c>
      <c r="L168" s="70" t="s">
        <v>229</v>
      </c>
      <c r="M168" s="27"/>
      <c r="N168" s="28"/>
      <c r="O168" s="43"/>
      <c r="P168" s="44"/>
      <c r="Q168" s="32"/>
      <c r="R168" s="45"/>
      <c r="S168" s="19"/>
      <c r="T168" s="17"/>
      <c r="U168" s="18"/>
      <c r="V168" s="20"/>
      <c r="W168" s="17"/>
      <c r="X168" s="18"/>
      <c r="Y168" s="20"/>
      <c r="Z168" s="17"/>
      <c r="AA168" s="18"/>
      <c r="AB168" s="20"/>
      <c r="AC168" s="17"/>
      <c r="AD168" s="18"/>
    </row>
    <row r="169" spans="11:30" ht="15.75" thickBot="1" x14ac:dyDescent="0.25">
      <c r="K169" s="26">
        <v>150</v>
      </c>
      <c r="L169" s="70" t="s">
        <v>230</v>
      </c>
      <c r="M169" s="27"/>
      <c r="N169" s="28"/>
      <c r="O169" s="43"/>
      <c r="P169" s="44"/>
      <c r="Q169" s="32"/>
      <c r="R169" s="45"/>
      <c r="S169" s="19"/>
      <c r="T169" s="17"/>
      <c r="U169" s="18"/>
      <c r="V169" s="20"/>
      <c r="W169" s="17"/>
      <c r="X169" s="18"/>
      <c r="Y169" s="20"/>
      <c r="Z169" s="17"/>
      <c r="AA169" s="18"/>
      <c r="AB169" s="20"/>
      <c r="AC169" s="17"/>
      <c r="AD169" s="18"/>
    </row>
    <row r="170" spans="11:30" ht="15.75" thickBot="1" x14ac:dyDescent="0.25">
      <c r="K170" s="26">
        <v>151</v>
      </c>
      <c r="L170" s="70" t="s">
        <v>231</v>
      </c>
      <c r="M170" s="27"/>
      <c r="N170" s="28"/>
      <c r="O170" s="43"/>
      <c r="P170" s="44"/>
      <c r="Q170" s="32"/>
      <c r="R170" s="45"/>
      <c r="S170" s="19"/>
      <c r="T170" s="17"/>
      <c r="U170" s="18"/>
      <c r="V170" s="20"/>
      <c r="W170" s="17"/>
      <c r="X170" s="18"/>
      <c r="Y170" s="20"/>
      <c r="Z170" s="17"/>
      <c r="AA170" s="18"/>
      <c r="AB170" s="20"/>
      <c r="AC170" s="17"/>
      <c r="AD170" s="18"/>
    </row>
    <row r="171" spans="11:30" ht="15.75" thickBot="1" x14ac:dyDescent="0.25">
      <c r="K171" s="26">
        <v>152</v>
      </c>
      <c r="L171" s="70" t="s">
        <v>232</v>
      </c>
      <c r="M171" s="27"/>
      <c r="N171" s="28"/>
      <c r="O171" s="43"/>
      <c r="P171" s="44"/>
      <c r="Q171" s="32"/>
      <c r="R171" s="45"/>
      <c r="S171" s="19"/>
      <c r="T171" s="17"/>
      <c r="U171" s="18"/>
      <c r="V171" s="20"/>
      <c r="W171" s="17"/>
      <c r="X171" s="18"/>
      <c r="Y171" s="20"/>
      <c r="Z171" s="17"/>
      <c r="AA171" s="18"/>
      <c r="AB171" s="20"/>
      <c r="AC171" s="17"/>
      <c r="AD171" s="18"/>
    </row>
    <row r="172" spans="11:30" ht="15.75" thickBot="1" x14ac:dyDescent="0.25">
      <c r="K172" s="26">
        <v>153</v>
      </c>
      <c r="L172" s="70" t="s">
        <v>233</v>
      </c>
      <c r="M172" s="27"/>
      <c r="N172" s="28"/>
      <c r="O172" s="43"/>
      <c r="P172" s="44"/>
      <c r="Q172" s="32"/>
      <c r="R172" s="45"/>
      <c r="S172" s="19"/>
      <c r="T172" s="17"/>
      <c r="U172" s="18"/>
      <c r="V172" s="20"/>
      <c r="W172" s="17"/>
      <c r="X172" s="18"/>
      <c r="Y172" s="20"/>
      <c r="Z172" s="17"/>
      <c r="AA172" s="18"/>
      <c r="AB172" s="20"/>
      <c r="AC172" s="17"/>
      <c r="AD172" s="18"/>
    </row>
    <row r="173" spans="11:30" ht="15.75" thickBot="1" x14ac:dyDescent="0.25">
      <c r="K173" s="26">
        <v>154</v>
      </c>
      <c r="L173" s="70" t="s">
        <v>234</v>
      </c>
      <c r="M173" s="27"/>
      <c r="N173" s="28"/>
      <c r="O173" s="43"/>
      <c r="P173" s="44"/>
      <c r="Q173" s="32"/>
      <c r="R173" s="45"/>
      <c r="S173" s="19"/>
      <c r="T173" s="17"/>
      <c r="U173" s="18"/>
      <c r="V173" s="20"/>
      <c r="W173" s="17"/>
      <c r="X173" s="18"/>
      <c r="Y173" s="20"/>
      <c r="Z173" s="17"/>
      <c r="AA173" s="18"/>
      <c r="AB173" s="20"/>
      <c r="AC173" s="17"/>
      <c r="AD173" s="18"/>
    </row>
    <row r="174" spans="11:30" ht="15.75" thickBot="1" x14ac:dyDescent="0.25">
      <c r="K174" s="26">
        <v>155</v>
      </c>
      <c r="L174" s="70" t="s">
        <v>235</v>
      </c>
      <c r="M174" s="27"/>
      <c r="N174" s="28"/>
      <c r="O174" s="43"/>
      <c r="P174" s="44"/>
      <c r="Q174" s="32"/>
      <c r="R174" s="45"/>
      <c r="S174" s="19"/>
      <c r="T174" s="17"/>
      <c r="U174" s="18"/>
      <c r="V174" s="20"/>
      <c r="W174" s="17"/>
      <c r="X174" s="18"/>
      <c r="Y174" s="20"/>
      <c r="Z174" s="17"/>
      <c r="AA174" s="18"/>
      <c r="AB174" s="20"/>
      <c r="AC174" s="17"/>
      <c r="AD174" s="18"/>
    </row>
    <row r="175" spans="11:30" ht="15.75" thickBot="1" x14ac:dyDescent="0.25">
      <c r="K175" s="26">
        <v>156</v>
      </c>
      <c r="L175" s="70" t="s">
        <v>236</v>
      </c>
      <c r="M175" s="27"/>
      <c r="N175" s="28"/>
      <c r="O175" s="43"/>
      <c r="P175" s="44"/>
      <c r="Q175" s="32"/>
      <c r="R175" s="45"/>
      <c r="S175" s="19"/>
      <c r="T175" s="17"/>
      <c r="U175" s="18"/>
      <c r="V175" s="20"/>
      <c r="W175" s="17"/>
      <c r="X175" s="18"/>
      <c r="Y175" s="20"/>
      <c r="Z175" s="17"/>
      <c r="AA175" s="18"/>
      <c r="AB175" s="20"/>
      <c r="AC175" s="17"/>
      <c r="AD175" s="18"/>
    </row>
    <row r="176" spans="11:30" ht="15.75" thickBot="1" x14ac:dyDescent="0.25">
      <c r="K176" s="26">
        <v>157</v>
      </c>
      <c r="L176" s="70" t="s">
        <v>237</v>
      </c>
      <c r="M176" s="27"/>
      <c r="N176" s="28"/>
      <c r="O176" s="43"/>
      <c r="P176" s="44"/>
      <c r="Q176" s="32"/>
      <c r="R176" s="45"/>
      <c r="S176" s="19"/>
      <c r="T176" s="17"/>
      <c r="U176" s="18"/>
      <c r="V176" s="20"/>
      <c r="W176" s="17"/>
      <c r="X176" s="18"/>
      <c r="Y176" s="20"/>
      <c r="Z176" s="17"/>
      <c r="AA176" s="18"/>
      <c r="AB176" s="20"/>
      <c r="AC176" s="17"/>
      <c r="AD176" s="18"/>
    </row>
    <row r="177" spans="11:30" ht="15.75" thickBot="1" x14ac:dyDescent="0.25">
      <c r="K177" s="26">
        <v>158</v>
      </c>
      <c r="L177" s="70" t="s">
        <v>238</v>
      </c>
      <c r="M177" s="27"/>
      <c r="N177" s="28"/>
      <c r="O177" s="43"/>
      <c r="P177" s="44"/>
      <c r="Q177" s="32"/>
      <c r="R177" s="45"/>
      <c r="S177" s="19"/>
      <c r="T177" s="17"/>
      <c r="U177" s="18"/>
      <c r="V177" s="20"/>
      <c r="W177" s="17"/>
      <c r="X177" s="18"/>
      <c r="Y177" s="20"/>
      <c r="Z177" s="17"/>
      <c r="AA177" s="18"/>
      <c r="AB177" s="20"/>
      <c r="AC177" s="17"/>
      <c r="AD177" s="18"/>
    </row>
    <row r="178" spans="11:30" ht="15.75" thickBot="1" x14ac:dyDescent="0.25">
      <c r="K178" s="26">
        <v>159</v>
      </c>
      <c r="L178" s="70" t="s">
        <v>239</v>
      </c>
      <c r="M178" s="27"/>
      <c r="N178" s="28"/>
      <c r="O178" s="43"/>
      <c r="P178" s="44"/>
      <c r="Q178" s="32"/>
      <c r="R178" s="45"/>
      <c r="S178" s="19"/>
      <c r="T178" s="17"/>
      <c r="U178" s="18"/>
      <c r="V178" s="20"/>
      <c r="W178" s="17"/>
      <c r="X178" s="18"/>
      <c r="Y178" s="20"/>
      <c r="Z178" s="17"/>
      <c r="AA178" s="18"/>
      <c r="AB178" s="20"/>
      <c r="AC178" s="17"/>
      <c r="AD178" s="18"/>
    </row>
    <row r="179" spans="11:30" ht="15.75" thickBot="1" x14ac:dyDescent="0.25">
      <c r="K179" s="29">
        <v>160</v>
      </c>
      <c r="L179" s="71" t="s">
        <v>240</v>
      </c>
      <c r="M179" s="30"/>
      <c r="N179" s="31"/>
      <c r="O179" s="46"/>
      <c r="P179" s="47"/>
      <c r="Q179" s="33"/>
      <c r="R179" s="45"/>
      <c r="S179" s="19"/>
      <c r="T179" s="17"/>
      <c r="U179" s="18"/>
      <c r="V179" s="20"/>
      <c r="W179" s="17"/>
      <c r="X179" s="18"/>
      <c r="Y179" s="20"/>
      <c r="Z179" s="17"/>
      <c r="AA179" s="18"/>
      <c r="AB179" s="20"/>
      <c r="AC179" s="17"/>
      <c r="AD179" s="18"/>
    </row>
    <row r="180" spans="11:30" ht="13.5" thickTop="1" x14ac:dyDescent="0.2">
      <c r="K180" s="54"/>
      <c r="L180" s="54"/>
      <c r="M180" s="54"/>
      <c r="N180" s="54"/>
      <c r="O180" s="54"/>
      <c r="P180" s="54"/>
      <c r="Q180" s="54"/>
      <c r="R180" s="54"/>
    </row>
  </sheetData>
  <mergeCells count="21">
    <mergeCell ref="T5:AD5"/>
    <mergeCell ref="K17:K19"/>
    <mergeCell ref="L17:L19"/>
    <mergeCell ref="M17:M19"/>
    <mergeCell ref="T12:AD15"/>
    <mergeCell ref="P13:R14"/>
    <mergeCell ref="N17:N19"/>
    <mergeCell ref="T7:AD8"/>
    <mergeCell ref="Q17:Q19"/>
    <mergeCell ref="R17:R19"/>
    <mergeCell ref="O17:O19"/>
    <mergeCell ref="P17:P19"/>
    <mergeCell ref="C1:H1"/>
    <mergeCell ref="C2:F2"/>
    <mergeCell ref="J14:J15"/>
    <mergeCell ref="P15:Q16"/>
    <mergeCell ref="R15:R16"/>
    <mergeCell ref="C3:F3"/>
    <mergeCell ref="C4:F4"/>
    <mergeCell ref="C5:F5"/>
    <mergeCell ref="C6:F6"/>
  </mergeCells>
  <conditionalFormatting sqref="O20:O179">
    <cfRule type="top10" dxfId="1" priority="2" stopIfTrue="1" rank="1"/>
  </conditionalFormatting>
  <conditionalFormatting sqref="R20:R179">
    <cfRule type="top10" dxfId="0" priority="1" stopIfTrue="1" rank="1"/>
  </conditionalFormatting>
  <hyperlinks>
    <hyperlink ref="C2:F2" r:id="rId1" display="Euro 2020" xr:uid="{00000000-0004-0000-0400-000000000000}"/>
    <hyperlink ref="C3:F3" r:id="rId2" display="World Cup 2018" xr:uid="{00000000-0004-0000-0400-000001000000}"/>
    <hyperlink ref="C4:F4" r:id="rId3" display="World Cup 2014" xr:uid="{00000000-0004-0000-0400-000002000000}"/>
    <hyperlink ref="C5:F5" r:id="rId4" display="Euro 2012" xr:uid="{00000000-0004-0000-0400-000003000000}"/>
    <hyperlink ref="C6:F6" r:id="rId5" display="World Cup 2010" xr:uid="{00000000-0004-0000-0400-000004000000}"/>
  </hyperlinks>
  <pageMargins left="0.75" right="0.75" top="1" bottom="1" header="0.5" footer="0.5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Sheet1</vt:lpstr>
      <vt:lpstr>ARG</vt:lpstr>
      <vt:lpstr>FRA</vt:lpstr>
      <vt:lpstr>blank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Inacio</dc:creator>
  <cp:lastModifiedBy>Baltazar, Marta</cp:lastModifiedBy>
  <dcterms:created xsi:type="dcterms:W3CDTF">2012-05-28T21:24:53Z</dcterms:created>
  <dcterms:modified xsi:type="dcterms:W3CDTF">2026-02-17T04:30:28Z</dcterms:modified>
</cp:coreProperties>
</file>